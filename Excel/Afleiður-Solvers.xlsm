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rnarfreyrerlingsson/Desktop/"/>
    </mc:Choice>
  </mc:AlternateContent>
  <xr:revisionPtr revIDLastSave="0" documentId="8_{C57B185E-1352-1046-9785-9EEE38B439CF}" xr6:coauthVersionLast="47" xr6:coauthVersionMax="47" xr10:uidLastSave="{00000000-0000-0000-0000-000000000000}"/>
  <bookViews>
    <workbookView xWindow="0" yWindow="740" windowWidth="30240" windowHeight="18900" activeTab="3" xr2:uid="{FE1EA1A8-CEA4-434E-9488-F20AD9F76B89}"/>
  </bookViews>
  <sheets>
    <sheet name="HomePage" sheetId="2" r:id="rId1"/>
    <sheet name="Bond Pricer" sheetId="8" r:id="rId2"/>
    <sheet name="Q2 - Compunding" sheetId="4" r:id="rId3"/>
    <sheet name="Forward Plotting" sheetId="12" r:id="rId4"/>
    <sheet name="Futures and Forwards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2" l="1"/>
  <c r="L3" i="12" s="1"/>
  <c r="L4" i="12" s="1"/>
  <c r="L5" i="12" s="1"/>
  <c r="L6" i="12" s="1"/>
  <c r="L7" i="12" s="1"/>
  <c r="L8" i="12" s="1"/>
  <c r="L9" i="12" s="1"/>
  <c r="L10" i="12" s="1"/>
  <c r="L11" i="12" s="1"/>
  <c r="L12" i="12" s="1"/>
  <c r="L13" i="12" s="1"/>
  <c r="L14" i="12" s="1"/>
  <c r="L15" i="12" s="1"/>
  <c r="L16" i="12" s="1"/>
  <c r="L17" i="12" s="1"/>
  <c r="L18" i="12" s="1"/>
  <c r="L19" i="12" s="1"/>
  <c r="L20" i="12" s="1"/>
  <c r="L21" i="12" s="1"/>
  <c r="L22" i="12" s="1"/>
  <c r="L23" i="12" s="1"/>
  <c r="L24" i="12" s="1"/>
  <c r="L25" i="12" s="1"/>
  <c r="L26" i="12" s="1"/>
  <c r="L27" i="12" s="1"/>
  <c r="L28" i="12" s="1"/>
  <c r="L29" i="12" s="1"/>
  <c r="L30" i="12" s="1"/>
  <c r="L31" i="12" s="1"/>
  <c r="L32" i="12" s="1"/>
  <c r="L33" i="12" s="1"/>
  <c r="L34" i="12" s="1"/>
  <c r="L35" i="12" s="1"/>
  <c r="L36" i="12" s="1"/>
  <c r="L37" i="12" s="1"/>
  <c r="L38" i="12" s="1"/>
  <c r="L39" i="12" s="1"/>
  <c r="L40" i="12" s="1"/>
  <c r="L41" i="12" s="1"/>
  <c r="L42" i="12" s="1"/>
  <c r="L43" i="12" s="1"/>
  <c r="L44" i="12" s="1"/>
  <c r="L45" i="12" s="1"/>
  <c r="L46" i="12" s="1"/>
  <c r="L47" i="12" s="1"/>
  <c r="L48" i="12" s="1"/>
  <c r="L49" i="12" s="1"/>
  <c r="L50" i="12" s="1"/>
  <c r="L51" i="12" s="1"/>
  <c r="L52" i="12" s="1"/>
  <c r="L53" i="12" s="1"/>
  <c r="L54" i="12" s="1"/>
  <c r="L55" i="12" s="1"/>
  <c r="L56" i="12" s="1"/>
  <c r="L57" i="12" s="1"/>
  <c r="L58" i="12" s="1"/>
  <c r="L59" i="12" s="1"/>
  <c r="L60" i="12" s="1"/>
  <c r="L61" i="12" s="1"/>
  <c r="L62" i="12" s="1"/>
  <c r="L63" i="12" s="1"/>
  <c r="L64" i="12" s="1"/>
  <c r="L65" i="12" s="1"/>
  <c r="L66" i="12" s="1"/>
  <c r="L67" i="12" s="1"/>
  <c r="L68" i="12" s="1"/>
  <c r="L69" i="12" s="1"/>
  <c r="L70" i="12" s="1"/>
  <c r="L71" i="12" s="1"/>
  <c r="L72" i="12" s="1"/>
  <c r="L73" i="12" s="1"/>
  <c r="L74" i="12" s="1"/>
  <c r="L75" i="12" s="1"/>
  <c r="L76" i="12" s="1"/>
  <c r="L77" i="12" s="1"/>
  <c r="L78" i="12" s="1"/>
  <c r="L79" i="12" s="1"/>
  <c r="L80" i="12" s="1"/>
  <c r="L81" i="12" s="1"/>
  <c r="L82" i="12" s="1"/>
  <c r="L83" i="12" s="1"/>
  <c r="L84" i="12" s="1"/>
  <c r="L85" i="12" s="1"/>
  <c r="L86" i="12" s="1"/>
  <c r="L87" i="12" s="1"/>
  <c r="L88" i="12" s="1"/>
  <c r="L89" i="12" s="1"/>
  <c r="L90" i="12" s="1"/>
  <c r="L91" i="12" s="1"/>
  <c r="L92" i="12" s="1"/>
  <c r="L93" i="12" s="1"/>
  <c r="L94" i="12" s="1"/>
  <c r="L95" i="12" s="1"/>
  <c r="L96" i="12" s="1"/>
  <c r="L97" i="12" s="1"/>
  <c r="L98" i="12" s="1"/>
  <c r="L99" i="12" s="1"/>
  <c r="L100" i="12" s="1"/>
  <c r="L101" i="12" s="1"/>
  <c r="L102" i="12" s="1"/>
  <c r="L103" i="12" s="1"/>
  <c r="L104" i="12" s="1"/>
  <c r="L105" i="12" s="1"/>
  <c r="L106" i="12" s="1"/>
  <c r="L107" i="12" s="1"/>
  <c r="L108" i="12" s="1"/>
  <c r="L109" i="12" s="1"/>
  <c r="L110" i="12" s="1"/>
  <c r="L111" i="12" s="1"/>
  <c r="L112" i="12" s="1"/>
  <c r="L113" i="12" s="1"/>
  <c r="L114" i="12" s="1"/>
  <c r="L115" i="12" s="1"/>
  <c r="L116" i="12" s="1"/>
  <c r="L117" i="12" s="1"/>
  <c r="L118" i="12" s="1"/>
  <c r="L119" i="12" s="1"/>
  <c r="L120" i="12" s="1"/>
  <c r="L121" i="12" s="1"/>
  <c r="L122" i="12" s="1"/>
  <c r="L123" i="12" s="1"/>
  <c r="L124" i="12" s="1"/>
  <c r="L125" i="12" s="1"/>
  <c r="L126" i="12" s="1"/>
  <c r="L127" i="12" s="1"/>
  <c r="L128" i="12" s="1"/>
  <c r="L129" i="12" s="1"/>
  <c r="L130" i="12" s="1"/>
  <c r="L131" i="12" s="1"/>
  <c r="L132" i="12" s="1"/>
  <c r="L133" i="12" s="1"/>
  <c r="L134" i="12" s="1"/>
  <c r="L135" i="12" s="1"/>
  <c r="L136" i="12" s="1"/>
  <c r="L137" i="12" s="1"/>
  <c r="L138" i="12" s="1"/>
  <c r="L139" i="12" s="1"/>
  <c r="L140" i="12" s="1"/>
  <c r="L141" i="12" s="1"/>
  <c r="L142" i="12" s="1"/>
  <c r="L143" i="12" s="1"/>
  <c r="L144" i="12" s="1"/>
  <c r="L145" i="12" s="1"/>
  <c r="L146" i="12" s="1"/>
  <c r="L147" i="12" s="1"/>
  <c r="L148" i="12" s="1"/>
  <c r="L149" i="12" s="1"/>
  <c r="L150" i="12" s="1"/>
  <c r="L151" i="12" s="1"/>
  <c r="L152" i="12" s="1"/>
  <c r="L153" i="12" s="1"/>
  <c r="L154" i="12" s="1"/>
  <c r="L155" i="12" s="1"/>
  <c r="L156" i="12" s="1"/>
  <c r="L157" i="12" s="1"/>
  <c r="L158" i="12" s="1"/>
  <c r="L159" i="12" s="1"/>
  <c r="L160" i="12" s="1"/>
  <c r="L161" i="12" s="1"/>
  <c r="L162" i="12" s="1"/>
  <c r="L163" i="12" s="1"/>
  <c r="L164" i="12" s="1"/>
  <c r="L165" i="12" s="1"/>
  <c r="L166" i="12" s="1"/>
  <c r="L167" i="12" s="1"/>
  <c r="L168" i="12" s="1"/>
  <c r="L169" i="12" s="1"/>
  <c r="L170" i="12" s="1"/>
  <c r="L171" i="12" s="1"/>
  <c r="L172" i="12" s="1"/>
  <c r="L173" i="12" s="1"/>
  <c r="L174" i="12" s="1"/>
  <c r="L175" i="12" s="1"/>
  <c r="L176" i="12" s="1"/>
  <c r="L177" i="12" s="1"/>
  <c r="L178" i="12" s="1"/>
  <c r="L179" i="12" s="1"/>
  <c r="L180" i="12" s="1"/>
  <c r="L181" i="12" s="1"/>
  <c r="L182" i="12" s="1"/>
  <c r="L183" i="12" s="1"/>
  <c r="L184" i="12" s="1"/>
  <c r="L185" i="12" s="1"/>
  <c r="L186" i="12" s="1"/>
  <c r="L187" i="12" s="1"/>
  <c r="L188" i="12" s="1"/>
  <c r="L189" i="12" s="1"/>
  <c r="L190" i="12" s="1"/>
  <c r="L191" i="12" s="1"/>
  <c r="L192" i="12" s="1"/>
  <c r="L193" i="12" s="1"/>
  <c r="L194" i="12" s="1"/>
  <c r="L195" i="12" s="1"/>
  <c r="L196" i="12" s="1"/>
  <c r="L197" i="12" s="1"/>
  <c r="L198" i="12" s="1"/>
  <c r="L199" i="12" s="1"/>
  <c r="L200" i="12" s="1"/>
  <c r="L201" i="12" s="1"/>
  <c r="L202" i="12" s="1"/>
  <c r="L203" i="12" s="1"/>
  <c r="L204" i="12" s="1"/>
  <c r="L205" i="12" s="1"/>
  <c r="L206" i="12" s="1"/>
  <c r="L207" i="12" s="1"/>
  <c r="L208" i="12" s="1"/>
  <c r="L209" i="12" s="1"/>
  <c r="L210" i="12" s="1"/>
  <c r="L211" i="12" s="1"/>
  <c r="L212" i="12" s="1"/>
  <c r="L213" i="12" s="1"/>
  <c r="L214" i="12" s="1"/>
  <c r="L215" i="12" s="1"/>
  <c r="L216" i="12" s="1"/>
  <c r="L217" i="12" s="1"/>
  <c r="L218" i="12" s="1"/>
  <c r="L219" i="12" s="1"/>
  <c r="L220" i="12" s="1"/>
  <c r="L221" i="12" s="1"/>
  <c r="L222" i="12" s="1"/>
  <c r="L223" i="12" s="1"/>
  <c r="L224" i="12" s="1"/>
  <c r="L225" i="12" s="1"/>
  <c r="L226" i="12" s="1"/>
  <c r="L227" i="12" s="1"/>
  <c r="L228" i="12" s="1"/>
  <c r="L229" i="12" s="1"/>
  <c r="L230" i="12" s="1"/>
  <c r="L231" i="12" s="1"/>
  <c r="L232" i="12" s="1"/>
  <c r="L233" i="12" s="1"/>
  <c r="L234" i="12" s="1"/>
  <c r="L235" i="12" s="1"/>
  <c r="L236" i="12" s="1"/>
  <c r="L237" i="12" s="1"/>
  <c r="L238" i="12" s="1"/>
  <c r="L239" i="12" s="1"/>
  <c r="L240" i="12" s="1"/>
  <c r="L241" i="12" s="1"/>
  <c r="L242" i="12" s="1"/>
  <c r="L243" i="12" s="1"/>
  <c r="L244" i="12" s="1"/>
  <c r="L245" i="12" s="1"/>
  <c r="L246" i="12" s="1"/>
  <c r="L247" i="12" s="1"/>
  <c r="L248" i="12" s="1"/>
  <c r="L249" i="12" s="1"/>
  <c r="L250" i="12" s="1"/>
  <c r="L251" i="12" s="1"/>
  <c r="L252" i="12" s="1"/>
  <c r="L253" i="12" s="1"/>
  <c r="L254" i="12" s="1"/>
  <c r="L255" i="12" s="1"/>
  <c r="L256" i="12" s="1"/>
  <c r="L257" i="12" s="1"/>
  <c r="L258" i="12" s="1"/>
  <c r="L259" i="12" s="1"/>
  <c r="L260" i="12" s="1"/>
  <c r="L261" i="12" s="1"/>
  <c r="L262" i="12" s="1"/>
  <c r="L263" i="12" s="1"/>
  <c r="L264" i="12" s="1"/>
  <c r="L265" i="12" s="1"/>
  <c r="L266" i="12" s="1"/>
  <c r="L267" i="12" s="1"/>
  <c r="L268" i="12" s="1"/>
  <c r="L269" i="12" s="1"/>
  <c r="L270" i="12" s="1"/>
  <c r="L271" i="12" s="1"/>
  <c r="L272" i="12" s="1"/>
  <c r="L273" i="12" s="1"/>
  <c r="L274" i="12" s="1"/>
  <c r="L275" i="12" s="1"/>
  <c r="L276" i="12" s="1"/>
  <c r="L277" i="12" s="1"/>
  <c r="L278" i="12" s="1"/>
  <c r="L279" i="12" s="1"/>
  <c r="L280" i="12" s="1"/>
  <c r="L281" i="12" s="1"/>
  <c r="L282" i="12" s="1"/>
  <c r="L283" i="12" s="1"/>
  <c r="L284" i="12" s="1"/>
  <c r="L285" i="12" s="1"/>
  <c r="L286" i="12" s="1"/>
  <c r="L287" i="12" s="1"/>
  <c r="L288" i="12" s="1"/>
  <c r="L289" i="12" s="1"/>
  <c r="L290" i="12" s="1"/>
  <c r="L291" i="12" s="1"/>
  <c r="L292" i="12" s="1"/>
  <c r="L293" i="12" s="1"/>
  <c r="L294" i="12" s="1"/>
  <c r="L295" i="12" s="1"/>
  <c r="L296" i="12" s="1"/>
  <c r="L297" i="12" s="1"/>
  <c r="L298" i="12" s="1"/>
  <c r="L299" i="12" s="1"/>
  <c r="L300" i="12" s="1"/>
  <c r="L301" i="12" s="1"/>
  <c r="L302" i="12" s="1"/>
  <c r="L303" i="12" s="1"/>
  <c r="L304" i="12" s="1"/>
  <c r="L305" i="12" s="1"/>
  <c r="L306" i="12" s="1"/>
  <c r="L307" i="12" s="1"/>
  <c r="L308" i="12" s="1"/>
  <c r="L309" i="12" s="1"/>
  <c r="L310" i="12" s="1"/>
  <c r="L311" i="12" s="1"/>
  <c r="L312" i="12" s="1"/>
  <c r="L313" i="12" s="1"/>
  <c r="L314" i="12" s="1"/>
  <c r="L315" i="12" s="1"/>
  <c r="L316" i="12" s="1"/>
  <c r="L317" i="12" s="1"/>
  <c r="L318" i="12" s="1"/>
  <c r="L319" i="12" s="1"/>
  <c r="L320" i="12" s="1"/>
  <c r="L321" i="12" s="1"/>
  <c r="L322" i="12" s="1"/>
  <c r="L323" i="12" s="1"/>
  <c r="L324" i="12" s="1"/>
  <c r="L325" i="12" s="1"/>
  <c r="L326" i="12" s="1"/>
  <c r="L327" i="12" s="1"/>
  <c r="L328" i="12" s="1"/>
  <c r="L329" i="12" s="1"/>
  <c r="L330" i="12" s="1"/>
  <c r="L331" i="12" s="1"/>
  <c r="L332" i="12" s="1"/>
  <c r="L333" i="12" s="1"/>
  <c r="L334" i="12" s="1"/>
  <c r="L335" i="12" s="1"/>
  <c r="L336" i="12" s="1"/>
  <c r="L337" i="12" s="1"/>
  <c r="L338" i="12" s="1"/>
  <c r="L339" i="12" s="1"/>
  <c r="L340" i="12" s="1"/>
  <c r="L341" i="12" s="1"/>
  <c r="L342" i="12" s="1"/>
  <c r="L343" i="12" s="1"/>
  <c r="L344" i="12" s="1"/>
  <c r="L345" i="12" s="1"/>
  <c r="L346" i="12" s="1"/>
  <c r="L347" i="12" s="1"/>
  <c r="L348" i="12" s="1"/>
  <c r="L349" i="12" s="1"/>
  <c r="L350" i="12" s="1"/>
  <c r="L351" i="12" s="1"/>
  <c r="L352" i="12" s="1"/>
  <c r="L353" i="12" s="1"/>
  <c r="L354" i="12" s="1"/>
  <c r="L355" i="12" s="1"/>
  <c r="L356" i="12" s="1"/>
  <c r="L357" i="12" s="1"/>
  <c r="L358" i="12" s="1"/>
  <c r="L359" i="12" s="1"/>
  <c r="L360" i="12" s="1"/>
  <c r="L361" i="12" s="1"/>
  <c r="L362" i="12" s="1"/>
  <c r="L363" i="12" s="1"/>
  <c r="L364" i="12" s="1"/>
  <c r="L365" i="12" s="1"/>
  <c r="L366" i="12" s="1"/>
  <c r="L367" i="12" s="1"/>
  <c r="L368" i="12" s="1"/>
  <c r="L369" i="12" s="1"/>
  <c r="L370" i="12" s="1"/>
  <c r="L371" i="12" s="1"/>
  <c r="L372" i="12" s="1"/>
  <c r="L373" i="12" s="1"/>
  <c r="L374" i="12" s="1"/>
  <c r="L375" i="12" s="1"/>
  <c r="L376" i="12" s="1"/>
  <c r="L377" i="12" s="1"/>
  <c r="L378" i="12" s="1"/>
  <c r="L379" i="12" s="1"/>
  <c r="L380" i="12" s="1"/>
  <c r="L381" i="12" s="1"/>
  <c r="L382" i="12" s="1"/>
  <c r="L383" i="12" s="1"/>
  <c r="L384" i="12" s="1"/>
  <c r="L385" i="12" s="1"/>
  <c r="L386" i="12" s="1"/>
  <c r="L387" i="12" s="1"/>
  <c r="L388" i="12" s="1"/>
  <c r="L389" i="12" s="1"/>
  <c r="L390" i="12" s="1"/>
  <c r="L391" i="12" s="1"/>
  <c r="L392" i="12" s="1"/>
  <c r="L393" i="12" s="1"/>
  <c r="L394" i="12" s="1"/>
  <c r="L395" i="12" s="1"/>
  <c r="L396" i="12" s="1"/>
  <c r="L397" i="12" s="1"/>
  <c r="L398" i="12" s="1"/>
  <c r="L399" i="12" s="1"/>
  <c r="L400" i="12" s="1"/>
  <c r="L401" i="12" s="1"/>
  <c r="L402" i="12" s="1"/>
  <c r="L403" i="12" s="1"/>
  <c r="L404" i="12" s="1"/>
  <c r="L405" i="12" s="1"/>
  <c r="L406" i="12" s="1"/>
  <c r="L407" i="12" s="1"/>
  <c r="L408" i="12" s="1"/>
  <c r="L409" i="12" s="1"/>
  <c r="L410" i="12" s="1"/>
  <c r="L411" i="12" s="1"/>
  <c r="L412" i="12" s="1"/>
  <c r="L413" i="12" s="1"/>
  <c r="L414" i="12" s="1"/>
  <c r="L415" i="12" s="1"/>
  <c r="L416" i="12" s="1"/>
  <c r="L417" i="12" s="1"/>
  <c r="L418" i="12" s="1"/>
  <c r="L419" i="12" s="1"/>
  <c r="L420" i="12" s="1"/>
  <c r="L421" i="12" s="1"/>
  <c r="L422" i="12" s="1"/>
  <c r="L423" i="12" s="1"/>
  <c r="L424" i="12" s="1"/>
  <c r="L425" i="12" s="1"/>
  <c r="L426" i="12" s="1"/>
  <c r="L427" i="12" s="1"/>
  <c r="L428" i="12" s="1"/>
  <c r="L429" i="12" s="1"/>
  <c r="L430" i="12" s="1"/>
  <c r="L431" i="12" s="1"/>
  <c r="L432" i="12" s="1"/>
  <c r="L433" i="12" s="1"/>
  <c r="L434" i="12" s="1"/>
  <c r="L435" i="12" s="1"/>
  <c r="L436" i="12" s="1"/>
  <c r="L437" i="12" s="1"/>
  <c r="L438" i="12" s="1"/>
  <c r="L439" i="12" s="1"/>
  <c r="L440" i="12" s="1"/>
  <c r="L441" i="12" s="1"/>
  <c r="L442" i="12" s="1"/>
  <c r="L443" i="12" s="1"/>
  <c r="L444" i="12" s="1"/>
  <c r="L445" i="12" s="1"/>
  <c r="L446" i="12" s="1"/>
  <c r="L447" i="12" s="1"/>
  <c r="L448" i="12" s="1"/>
  <c r="L449" i="12" s="1"/>
  <c r="L450" i="12" s="1"/>
  <c r="L451" i="12" s="1"/>
  <c r="L452" i="12" s="1"/>
  <c r="L453" i="12" s="1"/>
  <c r="L454" i="12" s="1"/>
  <c r="L455" i="12" s="1"/>
  <c r="L456" i="12" s="1"/>
  <c r="L457" i="12" s="1"/>
  <c r="L458" i="12" s="1"/>
  <c r="L459" i="12" s="1"/>
  <c r="L460" i="12" s="1"/>
  <c r="L461" i="12" s="1"/>
  <c r="L462" i="12" s="1"/>
  <c r="L463" i="12" s="1"/>
  <c r="L464" i="12" s="1"/>
  <c r="L465" i="12" s="1"/>
  <c r="L466" i="12" s="1"/>
  <c r="L467" i="12" s="1"/>
  <c r="L468" i="12" s="1"/>
  <c r="L469" i="12" s="1"/>
  <c r="L470" i="12" s="1"/>
  <c r="L471" i="12" s="1"/>
  <c r="L472" i="12" s="1"/>
  <c r="L473" i="12" s="1"/>
  <c r="L474" i="12" s="1"/>
  <c r="L475" i="12" s="1"/>
  <c r="L476" i="12" s="1"/>
  <c r="L477" i="12" s="1"/>
  <c r="L478" i="12" s="1"/>
  <c r="L479" i="12" s="1"/>
  <c r="L480" i="12" s="1"/>
  <c r="L481" i="12" s="1"/>
  <c r="L482" i="12" s="1"/>
  <c r="L483" i="12" s="1"/>
  <c r="L484" i="12" s="1"/>
  <c r="L485" i="12" s="1"/>
  <c r="L486" i="12" s="1"/>
  <c r="L487" i="12" s="1"/>
  <c r="L488" i="12" s="1"/>
  <c r="L489" i="12" s="1"/>
  <c r="L490" i="12" s="1"/>
  <c r="L491" i="12" s="1"/>
  <c r="L492" i="12" s="1"/>
  <c r="L493" i="12" s="1"/>
  <c r="L494" i="12" s="1"/>
  <c r="L495" i="12" s="1"/>
  <c r="L496" i="12" s="1"/>
  <c r="L497" i="12" s="1"/>
  <c r="L498" i="12" s="1"/>
  <c r="L499" i="12" s="1"/>
  <c r="L500" i="12" s="1"/>
  <c r="L501" i="12" s="1"/>
  <c r="L502" i="12" s="1"/>
  <c r="L503" i="12" s="1"/>
  <c r="L504" i="12" s="1"/>
  <c r="L505" i="12" s="1"/>
  <c r="L506" i="12" s="1"/>
  <c r="L507" i="12" s="1"/>
  <c r="L508" i="12" s="1"/>
  <c r="L509" i="12" s="1"/>
  <c r="L510" i="12" s="1"/>
  <c r="L511" i="12" s="1"/>
  <c r="L512" i="12" s="1"/>
  <c r="L513" i="12" s="1"/>
  <c r="L514" i="12" s="1"/>
  <c r="L515" i="12" s="1"/>
  <c r="L516" i="12" s="1"/>
  <c r="L517" i="12" s="1"/>
  <c r="L518" i="12" s="1"/>
  <c r="L519" i="12" s="1"/>
  <c r="L520" i="12" s="1"/>
  <c r="L521" i="12" s="1"/>
  <c r="L522" i="12" s="1"/>
  <c r="L523" i="12" s="1"/>
  <c r="L524" i="12" s="1"/>
  <c r="L525" i="12" s="1"/>
  <c r="L526" i="12" s="1"/>
  <c r="L527" i="12" s="1"/>
  <c r="L528" i="12" s="1"/>
  <c r="L529" i="12" s="1"/>
  <c r="L530" i="12" s="1"/>
  <c r="L531" i="12" s="1"/>
  <c r="L532" i="12" s="1"/>
  <c r="L533" i="12" s="1"/>
  <c r="L534" i="12" s="1"/>
  <c r="L535" i="12" s="1"/>
  <c r="L536" i="12" s="1"/>
  <c r="L537" i="12" s="1"/>
  <c r="L538" i="12" s="1"/>
  <c r="L539" i="12" s="1"/>
  <c r="L540" i="12" s="1"/>
  <c r="L541" i="12" s="1"/>
  <c r="L542" i="12" s="1"/>
  <c r="L543" i="12" s="1"/>
  <c r="L544" i="12" s="1"/>
  <c r="L545" i="12" s="1"/>
  <c r="L546" i="12" s="1"/>
  <c r="L547" i="12" s="1"/>
  <c r="L548" i="12" s="1"/>
  <c r="L549" i="12" s="1"/>
  <c r="L550" i="12" s="1"/>
  <c r="L551" i="12" s="1"/>
  <c r="L552" i="12" s="1"/>
  <c r="L553" i="12" s="1"/>
  <c r="L554" i="12" s="1"/>
  <c r="L555" i="12" s="1"/>
  <c r="L556" i="12" s="1"/>
  <c r="L557" i="12" s="1"/>
  <c r="L558" i="12" s="1"/>
  <c r="L559" i="12" s="1"/>
  <c r="L560" i="12" s="1"/>
  <c r="L561" i="12" s="1"/>
  <c r="L562" i="12" s="1"/>
  <c r="L563" i="12" s="1"/>
  <c r="L564" i="12" s="1"/>
  <c r="L565" i="12" s="1"/>
  <c r="L566" i="12" s="1"/>
  <c r="L567" i="12" s="1"/>
  <c r="L568" i="12" s="1"/>
  <c r="L569" i="12" s="1"/>
  <c r="L570" i="12" s="1"/>
  <c r="L571" i="12" s="1"/>
  <c r="L572" i="12" s="1"/>
  <c r="L573" i="12" s="1"/>
  <c r="L574" i="12" s="1"/>
  <c r="L575" i="12" s="1"/>
  <c r="L576" i="12" s="1"/>
  <c r="L577" i="12" s="1"/>
  <c r="L578" i="12" s="1"/>
  <c r="L579" i="12" s="1"/>
  <c r="L580" i="12" s="1"/>
  <c r="L581" i="12" s="1"/>
  <c r="L582" i="12" s="1"/>
  <c r="L583" i="12" s="1"/>
  <c r="L584" i="12" s="1"/>
  <c r="L585" i="12" s="1"/>
  <c r="L586" i="12" s="1"/>
  <c r="L587" i="12" s="1"/>
  <c r="L588" i="12" s="1"/>
  <c r="L589" i="12" s="1"/>
  <c r="L590" i="12" s="1"/>
  <c r="L591" i="12" s="1"/>
  <c r="L592" i="12" s="1"/>
  <c r="L593" i="12" s="1"/>
  <c r="L594" i="12" s="1"/>
  <c r="L595" i="12" s="1"/>
  <c r="L596" i="12" s="1"/>
  <c r="L597" i="12" s="1"/>
  <c r="L598" i="12" s="1"/>
  <c r="L599" i="12" s="1"/>
  <c r="L600" i="12" s="1"/>
  <c r="L601" i="12" s="1"/>
  <c r="L602" i="12" s="1"/>
  <c r="L603" i="12" s="1"/>
  <c r="L604" i="12" s="1"/>
  <c r="L605" i="12" s="1"/>
  <c r="L606" i="12" s="1"/>
  <c r="L607" i="12" s="1"/>
  <c r="L608" i="12" s="1"/>
  <c r="L609" i="12" s="1"/>
  <c r="L610" i="12" s="1"/>
  <c r="L611" i="12" s="1"/>
  <c r="L612" i="12" s="1"/>
  <c r="L613" i="12" s="1"/>
  <c r="L614" i="12" s="1"/>
  <c r="L615" i="12" s="1"/>
  <c r="L616" i="12" s="1"/>
  <c r="L617" i="12" s="1"/>
  <c r="L618" i="12" s="1"/>
  <c r="L619" i="12" s="1"/>
  <c r="L620" i="12" s="1"/>
  <c r="L621" i="12" s="1"/>
  <c r="L622" i="12" s="1"/>
  <c r="L623" i="12" s="1"/>
  <c r="L624" i="12" s="1"/>
  <c r="L625" i="12" s="1"/>
  <c r="L626" i="12" s="1"/>
  <c r="L627" i="12" s="1"/>
  <c r="L628" i="12" s="1"/>
  <c r="L629" i="12" s="1"/>
  <c r="L630" i="12" s="1"/>
  <c r="L631" i="12" s="1"/>
  <c r="L632" i="12" s="1"/>
  <c r="L633" i="12" s="1"/>
  <c r="L634" i="12" s="1"/>
  <c r="L635" i="12" s="1"/>
  <c r="L636" i="12" s="1"/>
  <c r="L637" i="12" s="1"/>
  <c r="L638" i="12" s="1"/>
  <c r="L639" i="12" s="1"/>
  <c r="L640" i="12" s="1"/>
  <c r="L641" i="12" s="1"/>
  <c r="L642" i="12" s="1"/>
  <c r="L643" i="12" s="1"/>
  <c r="L644" i="12" s="1"/>
  <c r="L645" i="12" s="1"/>
  <c r="L646" i="12" s="1"/>
  <c r="L647" i="12" s="1"/>
  <c r="L648" i="12" s="1"/>
  <c r="L649" i="12" s="1"/>
  <c r="L650" i="12" s="1"/>
  <c r="L651" i="12" s="1"/>
  <c r="L652" i="12" s="1"/>
  <c r="L653" i="12" s="1"/>
  <c r="L654" i="12" s="1"/>
  <c r="L655" i="12" s="1"/>
  <c r="L656" i="12" s="1"/>
  <c r="L657" i="12" s="1"/>
  <c r="L658" i="12" s="1"/>
  <c r="L659" i="12" s="1"/>
  <c r="L660" i="12" s="1"/>
  <c r="L661" i="12" s="1"/>
  <c r="L662" i="12" s="1"/>
  <c r="L663" i="12" s="1"/>
  <c r="L664" i="12" s="1"/>
  <c r="L665" i="12" s="1"/>
  <c r="L666" i="12" s="1"/>
  <c r="L667" i="12" s="1"/>
  <c r="L668" i="12" s="1"/>
  <c r="L669" i="12" s="1"/>
  <c r="L670" i="12" s="1"/>
  <c r="L671" i="12" s="1"/>
  <c r="L672" i="12" s="1"/>
  <c r="L673" i="12" s="1"/>
  <c r="L674" i="12" s="1"/>
  <c r="L675" i="12" s="1"/>
  <c r="L676" i="12" s="1"/>
  <c r="L677" i="12" s="1"/>
  <c r="L678" i="12" s="1"/>
  <c r="L679" i="12" s="1"/>
  <c r="L680" i="12" s="1"/>
  <c r="L681" i="12" s="1"/>
  <c r="L682" i="12" s="1"/>
  <c r="L683" i="12" s="1"/>
  <c r="L684" i="12" s="1"/>
  <c r="L685" i="12" s="1"/>
  <c r="L686" i="12" s="1"/>
  <c r="L687" i="12" s="1"/>
  <c r="L688" i="12" s="1"/>
  <c r="L689" i="12" s="1"/>
  <c r="L690" i="12" s="1"/>
  <c r="L691" i="12" s="1"/>
  <c r="L692" i="12" s="1"/>
  <c r="L693" i="12" s="1"/>
  <c r="L694" i="12" s="1"/>
  <c r="L695" i="12" s="1"/>
  <c r="L696" i="12" s="1"/>
  <c r="L697" i="12" s="1"/>
  <c r="L698" i="12" s="1"/>
  <c r="L699" i="12" s="1"/>
  <c r="L700" i="12" s="1"/>
  <c r="L701" i="12" s="1"/>
  <c r="L702" i="12" s="1"/>
  <c r="L703" i="12" s="1"/>
  <c r="L704" i="12" s="1"/>
  <c r="L705" i="12" s="1"/>
  <c r="L706" i="12" s="1"/>
  <c r="L707" i="12" s="1"/>
  <c r="L708" i="12" s="1"/>
  <c r="L709" i="12" s="1"/>
  <c r="L710" i="12" s="1"/>
  <c r="L711" i="12" s="1"/>
  <c r="L712" i="12" s="1"/>
  <c r="L713" i="12" s="1"/>
  <c r="L714" i="12" s="1"/>
  <c r="L715" i="12" s="1"/>
  <c r="L716" i="12" s="1"/>
  <c r="L717" i="12" s="1"/>
  <c r="L718" i="12" s="1"/>
  <c r="L719" i="12" s="1"/>
  <c r="L720" i="12" s="1"/>
  <c r="L721" i="12" s="1"/>
  <c r="L722" i="12" s="1"/>
  <c r="L723" i="12" s="1"/>
  <c r="L724" i="12" s="1"/>
  <c r="L725" i="12" s="1"/>
  <c r="L726" i="12" s="1"/>
  <c r="L727" i="12" s="1"/>
  <c r="L728" i="12" s="1"/>
  <c r="L729" i="12" s="1"/>
  <c r="L730" i="12" s="1"/>
  <c r="L731" i="12" s="1"/>
  <c r="L732" i="12" s="1"/>
  <c r="L733" i="12" s="1"/>
  <c r="L734" i="12" s="1"/>
  <c r="L735" i="12" s="1"/>
  <c r="L736" i="12" s="1"/>
  <c r="L737" i="12" s="1"/>
  <c r="L738" i="12" s="1"/>
  <c r="L739" i="12" s="1"/>
  <c r="L740" i="12" s="1"/>
  <c r="L741" i="12" s="1"/>
  <c r="L742" i="12" s="1"/>
  <c r="L743" i="12" s="1"/>
  <c r="L744" i="12" s="1"/>
  <c r="L745" i="12" s="1"/>
  <c r="L746" i="12" s="1"/>
  <c r="L747" i="12" s="1"/>
  <c r="L748" i="12" s="1"/>
  <c r="L749" i="12" s="1"/>
  <c r="L750" i="12" s="1"/>
  <c r="L751" i="12" s="1"/>
  <c r="L752" i="12" s="1"/>
  <c r="L753" i="12" s="1"/>
  <c r="L754" i="12" s="1"/>
  <c r="L755" i="12" s="1"/>
  <c r="L756" i="12" s="1"/>
  <c r="L757" i="12" s="1"/>
  <c r="L758" i="12" s="1"/>
  <c r="L759" i="12" s="1"/>
  <c r="L760" i="12" s="1"/>
  <c r="L761" i="12" s="1"/>
  <c r="L762" i="12" s="1"/>
  <c r="L763" i="12" s="1"/>
  <c r="L764" i="12" s="1"/>
  <c r="L765" i="12" s="1"/>
  <c r="L766" i="12" s="1"/>
  <c r="L767" i="12" s="1"/>
  <c r="L768" i="12" s="1"/>
  <c r="L769" i="12" s="1"/>
  <c r="L770" i="12" s="1"/>
  <c r="L771" i="12" s="1"/>
  <c r="L772" i="12" s="1"/>
  <c r="L773" i="12" s="1"/>
  <c r="L774" i="12" s="1"/>
  <c r="L775" i="12" s="1"/>
  <c r="L776" i="12" s="1"/>
  <c r="L777" i="12" s="1"/>
  <c r="L778" i="12" s="1"/>
  <c r="L779" i="12" s="1"/>
  <c r="L780" i="12" s="1"/>
  <c r="L781" i="12" s="1"/>
  <c r="L782" i="12" s="1"/>
  <c r="L783" i="12" s="1"/>
  <c r="L784" i="12" s="1"/>
  <c r="L785" i="12" s="1"/>
  <c r="L786" i="12" s="1"/>
  <c r="L787" i="12" s="1"/>
  <c r="L788" i="12" s="1"/>
  <c r="L789" i="12" s="1"/>
  <c r="L790" i="12" s="1"/>
  <c r="L791" i="12" s="1"/>
  <c r="L792" i="12" s="1"/>
  <c r="L793" i="12" s="1"/>
  <c r="L794" i="12" s="1"/>
  <c r="L795" i="12" s="1"/>
  <c r="L796" i="12" s="1"/>
  <c r="L797" i="12" s="1"/>
  <c r="L798" i="12" s="1"/>
  <c r="L799" i="12" s="1"/>
  <c r="L800" i="12" s="1"/>
  <c r="L801" i="12" s="1"/>
  <c r="L802" i="12" s="1"/>
  <c r="L803" i="12" s="1"/>
  <c r="L804" i="12" s="1"/>
  <c r="L805" i="12" s="1"/>
  <c r="L806" i="12" s="1"/>
  <c r="L807" i="12" s="1"/>
  <c r="L808" i="12" s="1"/>
  <c r="L809" i="12" s="1"/>
  <c r="L810" i="12" s="1"/>
  <c r="L811" i="12" s="1"/>
  <c r="L812" i="12" s="1"/>
  <c r="L813" i="12" s="1"/>
  <c r="L814" i="12" s="1"/>
  <c r="L815" i="12" s="1"/>
  <c r="L816" i="12" s="1"/>
  <c r="L817" i="12" s="1"/>
  <c r="L818" i="12" s="1"/>
  <c r="L819" i="12" s="1"/>
  <c r="L820" i="12" s="1"/>
  <c r="L821" i="12" s="1"/>
  <c r="L822" i="12" s="1"/>
  <c r="L823" i="12" s="1"/>
  <c r="L824" i="12" s="1"/>
  <c r="L825" i="12" s="1"/>
  <c r="L826" i="12" s="1"/>
  <c r="L827" i="12" s="1"/>
  <c r="L828" i="12" s="1"/>
  <c r="L829" i="12" s="1"/>
  <c r="L830" i="12" s="1"/>
  <c r="L831" i="12" s="1"/>
  <c r="L832" i="12" s="1"/>
  <c r="L833" i="12" s="1"/>
  <c r="L834" i="12" s="1"/>
  <c r="L835" i="12" s="1"/>
  <c r="L836" i="12" s="1"/>
  <c r="L837" i="12" s="1"/>
  <c r="L838" i="12" s="1"/>
  <c r="L839" i="12" s="1"/>
  <c r="L840" i="12" s="1"/>
  <c r="L841" i="12" s="1"/>
  <c r="L842" i="12" s="1"/>
  <c r="L843" i="12" s="1"/>
  <c r="L844" i="12" s="1"/>
  <c r="L845" i="12" s="1"/>
  <c r="L846" i="12" s="1"/>
  <c r="L847" i="12" s="1"/>
  <c r="L848" i="12" s="1"/>
  <c r="L849" i="12" s="1"/>
  <c r="L850" i="12" s="1"/>
  <c r="L851" i="12" s="1"/>
  <c r="L852" i="12" s="1"/>
  <c r="L853" i="12" s="1"/>
  <c r="L854" i="12" s="1"/>
  <c r="L855" i="12" s="1"/>
  <c r="L856" i="12" s="1"/>
  <c r="L857" i="12" s="1"/>
  <c r="L858" i="12" s="1"/>
  <c r="L859" i="12" s="1"/>
  <c r="L860" i="12" s="1"/>
  <c r="L861" i="12" s="1"/>
  <c r="L862" i="12" s="1"/>
  <c r="L863" i="12" s="1"/>
  <c r="L864" i="12" s="1"/>
  <c r="L865" i="12" s="1"/>
  <c r="L866" i="12" s="1"/>
  <c r="L867" i="12" s="1"/>
  <c r="L868" i="12" s="1"/>
  <c r="L869" i="12" s="1"/>
  <c r="L870" i="12" s="1"/>
  <c r="L871" i="12" s="1"/>
  <c r="L872" i="12" s="1"/>
  <c r="L873" i="12" s="1"/>
  <c r="L874" i="12" s="1"/>
  <c r="L875" i="12" s="1"/>
  <c r="L876" i="12" s="1"/>
  <c r="L877" i="12" s="1"/>
  <c r="L878" i="12" s="1"/>
  <c r="L879" i="12" s="1"/>
  <c r="L880" i="12" s="1"/>
  <c r="L881" i="12" s="1"/>
  <c r="L882" i="12" s="1"/>
  <c r="L883" i="12" s="1"/>
  <c r="L884" i="12" s="1"/>
  <c r="L885" i="12" s="1"/>
  <c r="L886" i="12" s="1"/>
  <c r="L887" i="12" s="1"/>
  <c r="L888" i="12" s="1"/>
  <c r="L889" i="12" s="1"/>
  <c r="L890" i="12" s="1"/>
  <c r="L891" i="12" s="1"/>
  <c r="L892" i="12" s="1"/>
  <c r="L893" i="12" s="1"/>
  <c r="L894" i="12" s="1"/>
  <c r="L895" i="12" s="1"/>
  <c r="L896" i="12" s="1"/>
  <c r="L897" i="12" s="1"/>
  <c r="L898" i="12" s="1"/>
  <c r="L899" i="12" s="1"/>
  <c r="L900" i="12" s="1"/>
  <c r="L901" i="12" s="1"/>
  <c r="L902" i="12" s="1"/>
  <c r="L903" i="12" s="1"/>
  <c r="L904" i="12" s="1"/>
  <c r="L905" i="12" s="1"/>
  <c r="L906" i="12" s="1"/>
  <c r="L907" i="12" s="1"/>
  <c r="L908" i="12" s="1"/>
  <c r="L909" i="12" s="1"/>
  <c r="L910" i="12" s="1"/>
  <c r="L911" i="12" s="1"/>
  <c r="L912" i="12" s="1"/>
  <c r="L913" i="12" s="1"/>
  <c r="L914" i="12" s="1"/>
  <c r="L915" i="12" s="1"/>
  <c r="L916" i="12" s="1"/>
  <c r="L917" i="12" s="1"/>
  <c r="L918" i="12" s="1"/>
  <c r="L919" i="12" s="1"/>
  <c r="L920" i="12" s="1"/>
  <c r="L921" i="12" s="1"/>
  <c r="L922" i="12" s="1"/>
  <c r="L923" i="12" s="1"/>
  <c r="L924" i="12" s="1"/>
  <c r="L925" i="12" s="1"/>
  <c r="L926" i="12" s="1"/>
  <c r="L927" i="12" s="1"/>
  <c r="L928" i="12" s="1"/>
  <c r="L929" i="12" s="1"/>
  <c r="L930" i="12" s="1"/>
  <c r="L931" i="12" s="1"/>
  <c r="L932" i="12" s="1"/>
  <c r="L933" i="12" s="1"/>
  <c r="L934" i="12" s="1"/>
  <c r="L935" i="12" s="1"/>
  <c r="L936" i="12" s="1"/>
  <c r="L937" i="12" s="1"/>
  <c r="L938" i="12" s="1"/>
  <c r="L939" i="12" s="1"/>
  <c r="L940" i="12" s="1"/>
  <c r="L941" i="12" s="1"/>
  <c r="L942" i="12" s="1"/>
  <c r="L943" i="12" s="1"/>
  <c r="L944" i="12" s="1"/>
  <c r="L945" i="12" s="1"/>
  <c r="L946" i="12" s="1"/>
  <c r="L947" i="12" s="1"/>
  <c r="L948" i="12" s="1"/>
  <c r="L949" i="12" s="1"/>
  <c r="L950" i="12" s="1"/>
  <c r="L951" i="12" s="1"/>
  <c r="L952" i="12" s="1"/>
  <c r="L953" i="12" s="1"/>
  <c r="L954" i="12" s="1"/>
  <c r="L955" i="12" s="1"/>
  <c r="L956" i="12" s="1"/>
  <c r="L957" i="12" s="1"/>
  <c r="L958" i="12" s="1"/>
  <c r="L959" i="12" s="1"/>
  <c r="L960" i="12" s="1"/>
  <c r="L961" i="12" s="1"/>
  <c r="L962" i="12" s="1"/>
  <c r="L963" i="12" s="1"/>
  <c r="L964" i="12" s="1"/>
  <c r="L965" i="12" s="1"/>
  <c r="L966" i="12" s="1"/>
  <c r="L967" i="12" s="1"/>
  <c r="L968" i="12" s="1"/>
  <c r="L969" i="12" s="1"/>
  <c r="L970" i="12" s="1"/>
  <c r="L971" i="12" s="1"/>
  <c r="L972" i="12" s="1"/>
  <c r="L973" i="12" s="1"/>
  <c r="L974" i="12" s="1"/>
  <c r="L975" i="12" s="1"/>
  <c r="L976" i="12" s="1"/>
  <c r="L977" i="12" s="1"/>
  <c r="L978" i="12" s="1"/>
  <c r="L979" i="12" s="1"/>
  <c r="L980" i="12" s="1"/>
  <c r="L981" i="12" s="1"/>
  <c r="L982" i="12" s="1"/>
  <c r="L983" i="12" s="1"/>
  <c r="L984" i="12" s="1"/>
  <c r="L985" i="12" s="1"/>
  <c r="L986" i="12" s="1"/>
  <c r="L987" i="12" s="1"/>
  <c r="L988" i="12" s="1"/>
  <c r="L989" i="12" s="1"/>
  <c r="L990" i="12" s="1"/>
  <c r="L991" i="12" s="1"/>
  <c r="L992" i="12" s="1"/>
  <c r="L993" i="12" s="1"/>
  <c r="L994" i="12" s="1"/>
  <c r="L995" i="12" s="1"/>
  <c r="L996" i="12" s="1"/>
  <c r="L997" i="12" s="1"/>
  <c r="L998" i="12" s="1"/>
  <c r="L999" i="12" s="1"/>
  <c r="L1000" i="12" s="1"/>
  <c r="L1001" i="12" s="1"/>
  <c r="L1002" i="12" s="1"/>
  <c r="L1003" i="12" s="1"/>
  <c r="L1004" i="12" s="1"/>
  <c r="L1005" i="12" s="1"/>
  <c r="L1006" i="12" s="1"/>
  <c r="L1007" i="12" s="1"/>
  <c r="L1008" i="12" s="1"/>
  <c r="L1009" i="12" s="1"/>
  <c r="L1010" i="12" s="1"/>
  <c r="L1011" i="12" s="1"/>
  <c r="L1012" i="12" s="1"/>
  <c r="L1013" i="12" s="1"/>
  <c r="L1014" i="12" s="1"/>
  <c r="L1015" i="12" s="1"/>
  <c r="L1016" i="12" s="1"/>
  <c r="L1017" i="12" s="1"/>
  <c r="L1018" i="12" s="1"/>
  <c r="L1019" i="12" s="1"/>
  <c r="L1020" i="12" s="1"/>
  <c r="L1021" i="12" s="1"/>
  <c r="L1022" i="12" s="1"/>
  <c r="L1023" i="12" s="1"/>
  <c r="L1024" i="12" s="1"/>
  <c r="L1025" i="12" s="1"/>
  <c r="L1026" i="12" s="1"/>
  <c r="L1027" i="12" s="1"/>
  <c r="L1028" i="12" s="1"/>
  <c r="L1029" i="12" s="1"/>
  <c r="L1030" i="12" s="1"/>
  <c r="L1031" i="12" s="1"/>
  <c r="L1032" i="12" s="1"/>
  <c r="L1033" i="12" s="1"/>
  <c r="L1034" i="12" s="1"/>
  <c r="L1035" i="12" s="1"/>
  <c r="L1036" i="12" s="1"/>
  <c r="L1037" i="12" s="1"/>
  <c r="L1038" i="12" s="1"/>
  <c r="L1039" i="12" s="1"/>
  <c r="L1040" i="12" s="1"/>
  <c r="L1041" i="12" s="1"/>
  <c r="L1042" i="12" s="1"/>
  <c r="L1043" i="12" s="1"/>
  <c r="L1044" i="12" s="1"/>
  <c r="L1045" i="12" s="1"/>
  <c r="L1046" i="12" s="1"/>
  <c r="L1047" i="12" s="1"/>
  <c r="L1048" i="12" s="1"/>
  <c r="L1049" i="12" s="1"/>
  <c r="L1050" i="12" s="1"/>
  <c r="L1051" i="12" s="1"/>
  <c r="L1052" i="12" s="1"/>
  <c r="L1053" i="12" s="1"/>
  <c r="L1054" i="12" s="1"/>
  <c r="L1055" i="12" s="1"/>
  <c r="L1056" i="12" s="1"/>
  <c r="L1057" i="12" s="1"/>
  <c r="L1058" i="12" s="1"/>
  <c r="L1059" i="12" s="1"/>
  <c r="L1060" i="12" s="1"/>
  <c r="L1061" i="12" s="1"/>
  <c r="L1062" i="12" s="1"/>
  <c r="L1063" i="12" s="1"/>
  <c r="L1064" i="12" s="1"/>
  <c r="L1065" i="12" s="1"/>
  <c r="L1066" i="12" s="1"/>
  <c r="L1067" i="12" s="1"/>
  <c r="L1068" i="12" s="1"/>
  <c r="L1069" i="12" s="1"/>
  <c r="L1070" i="12" s="1"/>
  <c r="L1071" i="12" s="1"/>
  <c r="L1072" i="12" s="1"/>
  <c r="L1073" i="12" s="1"/>
  <c r="L1074" i="12" s="1"/>
  <c r="L1075" i="12" s="1"/>
  <c r="L1076" i="12" s="1"/>
  <c r="L1077" i="12" s="1"/>
  <c r="L1078" i="12" s="1"/>
  <c r="L1079" i="12" s="1"/>
  <c r="L1080" i="12" s="1"/>
  <c r="L1081" i="12" s="1"/>
  <c r="L1082" i="12" s="1"/>
  <c r="L1083" i="12" s="1"/>
  <c r="L1084" i="12" s="1"/>
  <c r="L1085" i="12" s="1"/>
  <c r="L1086" i="12" s="1"/>
  <c r="L1087" i="12" s="1"/>
  <c r="L1088" i="12" s="1"/>
  <c r="L1089" i="12" s="1"/>
  <c r="L1090" i="12" s="1"/>
  <c r="L1091" i="12" s="1"/>
  <c r="L1092" i="12" s="1"/>
  <c r="L1093" i="12" s="1"/>
  <c r="L1094" i="12" s="1"/>
  <c r="L1095" i="12" s="1"/>
  <c r="L1096" i="12" s="1"/>
  <c r="L1097" i="12" s="1"/>
  <c r="L1098" i="12" s="1"/>
  <c r="L1099" i="12" s="1"/>
  <c r="L1100" i="12" s="1"/>
  <c r="L1101" i="12" s="1"/>
  <c r="L1102" i="12" s="1"/>
  <c r="L1103" i="12" s="1"/>
  <c r="L1104" i="12" s="1"/>
  <c r="L1105" i="12" s="1"/>
  <c r="L1106" i="12" s="1"/>
  <c r="L1107" i="12" s="1"/>
  <c r="L1108" i="12" s="1"/>
  <c r="L1109" i="12" s="1"/>
  <c r="L1110" i="12" s="1"/>
  <c r="L1111" i="12" s="1"/>
  <c r="L1112" i="12" s="1"/>
  <c r="L1113" i="12" s="1"/>
  <c r="L1114" i="12" s="1"/>
  <c r="L1115" i="12" s="1"/>
  <c r="L1116" i="12" s="1"/>
  <c r="L1117" i="12" s="1"/>
  <c r="L1118" i="12" s="1"/>
  <c r="L1119" i="12" s="1"/>
  <c r="L1120" i="12" s="1"/>
  <c r="L1121" i="12" s="1"/>
  <c r="L1122" i="12" s="1"/>
  <c r="L1123" i="12" s="1"/>
  <c r="L1124" i="12" s="1"/>
  <c r="L1125" i="12" s="1"/>
  <c r="L1126" i="12" s="1"/>
  <c r="L1127" i="12" s="1"/>
  <c r="L1128" i="12" s="1"/>
  <c r="L1129" i="12" s="1"/>
  <c r="L1130" i="12" s="1"/>
  <c r="L1131" i="12" s="1"/>
  <c r="L1132" i="12" s="1"/>
  <c r="L1133" i="12" s="1"/>
  <c r="L1134" i="12" s="1"/>
  <c r="L1135" i="12" s="1"/>
  <c r="L1136" i="12" s="1"/>
  <c r="L1137" i="12" s="1"/>
  <c r="L1138" i="12" s="1"/>
  <c r="L1139" i="12" s="1"/>
  <c r="L1140" i="12" s="1"/>
  <c r="L1141" i="12" s="1"/>
  <c r="L1142" i="12" s="1"/>
  <c r="L1143" i="12" s="1"/>
  <c r="L1144" i="12" s="1"/>
  <c r="L1145" i="12" s="1"/>
  <c r="L1146" i="12" s="1"/>
  <c r="L1147" i="12" s="1"/>
  <c r="L1148" i="12" s="1"/>
  <c r="L1149" i="12" s="1"/>
  <c r="L1150" i="12" s="1"/>
  <c r="L1151" i="12" s="1"/>
  <c r="L1152" i="12" s="1"/>
  <c r="L1153" i="12" s="1"/>
  <c r="L1154" i="12" s="1"/>
  <c r="L1155" i="12" s="1"/>
  <c r="L1156" i="12" s="1"/>
  <c r="L1157" i="12" s="1"/>
  <c r="L1158" i="12" s="1"/>
  <c r="L1159" i="12" s="1"/>
  <c r="L1160" i="12" s="1"/>
  <c r="L1161" i="12" s="1"/>
  <c r="L1162" i="12" s="1"/>
  <c r="L1163" i="12" s="1"/>
  <c r="L1164" i="12" s="1"/>
  <c r="L1165" i="12" s="1"/>
  <c r="L1166" i="12" s="1"/>
  <c r="L1167" i="12" s="1"/>
  <c r="L1168" i="12" s="1"/>
  <c r="L1169" i="12" s="1"/>
  <c r="L1170" i="12" s="1"/>
  <c r="L1171" i="12" s="1"/>
  <c r="L1172" i="12" s="1"/>
  <c r="L1173" i="12" s="1"/>
  <c r="L1174" i="12" s="1"/>
  <c r="L1175" i="12" s="1"/>
  <c r="L1176" i="12" s="1"/>
  <c r="L1177" i="12" s="1"/>
  <c r="L1178" i="12" s="1"/>
  <c r="L1179" i="12" s="1"/>
  <c r="L1180" i="12" s="1"/>
  <c r="L1181" i="12" s="1"/>
  <c r="L1182" i="12" s="1"/>
  <c r="L1183" i="12" s="1"/>
  <c r="L1184" i="12" s="1"/>
  <c r="L1185" i="12" s="1"/>
  <c r="L1186" i="12" s="1"/>
  <c r="L1187" i="12" s="1"/>
  <c r="L1188" i="12" s="1"/>
  <c r="L1189" i="12" s="1"/>
  <c r="L1190" i="12" s="1"/>
  <c r="L1191" i="12" s="1"/>
  <c r="L1192" i="12" s="1"/>
  <c r="L1193" i="12" s="1"/>
  <c r="L1194" i="12" s="1"/>
  <c r="L1195" i="12" s="1"/>
  <c r="L1196" i="12" s="1"/>
  <c r="L1197" i="12" s="1"/>
  <c r="L1198" i="12" s="1"/>
  <c r="L1199" i="12" s="1"/>
  <c r="L1200" i="12" s="1"/>
  <c r="L1201" i="12" s="1"/>
  <c r="L1202" i="12" s="1"/>
  <c r="L1203" i="12" s="1"/>
  <c r="L1204" i="12" s="1"/>
  <c r="L1205" i="12" s="1"/>
  <c r="L1206" i="12" s="1"/>
  <c r="L1207" i="12" s="1"/>
  <c r="L1208" i="12" s="1"/>
  <c r="L1209" i="12" s="1"/>
  <c r="L1210" i="12" s="1"/>
  <c r="L1211" i="12" s="1"/>
  <c r="L1212" i="12" s="1"/>
  <c r="L1213" i="12" s="1"/>
  <c r="L1214" i="12" s="1"/>
  <c r="L1215" i="12" s="1"/>
  <c r="L1216" i="12" s="1"/>
  <c r="L1217" i="12" s="1"/>
  <c r="L1218" i="12" s="1"/>
  <c r="L1219" i="12" s="1"/>
  <c r="L1220" i="12" s="1"/>
  <c r="L1221" i="12" s="1"/>
  <c r="L1222" i="12" s="1"/>
  <c r="L1223" i="12" s="1"/>
  <c r="L1224" i="12" s="1"/>
  <c r="L1225" i="12" s="1"/>
  <c r="L1226" i="12" s="1"/>
  <c r="L1227" i="12" s="1"/>
  <c r="L1228" i="12" s="1"/>
  <c r="L1229" i="12" s="1"/>
  <c r="L1230" i="12" s="1"/>
  <c r="L1231" i="12" s="1"/>
  <c r="L1232" i="12" s="1"/>
  <c r="L1233" i="12" s="1"/>
  <c r="L1234" i="12" s="1"/>
  <c r="L1235" i="12" s="1"/>
  <c r="L1236" i="12" s="1"/>
  <c r="L1237" i="12" s="1"/>
  <c r="L1238" i="12" s="1"/>
  <c r="L1239" i="12" s="1"/>
  <c r="L1240" i="12" s="1"/>
  <c r="L1241" i="12" s="1"/>
  <c r="L1242" i="12" s="1"/>
  <c r="L1243" i="12" s="1"/>
  <c r="L1244" i="12" s="1"/>
  <c r="L1245" i="12" s="1"/>
  <c r="L1246" i="12" s="1"/>
  <c r="L1247" i="12" s="1"/>
  <c r="L1248" i="12" s="1"/>
  <c r="L1249" i="12" s="1"/>
  <c r="L1250" i="12" s="1"/>
  <c r="L1251" i="12" s="1"/>
  <c r="L1252" i="12" s="1"/>
  <c r="L1253" i="12" s="1"/>
  <c r="L1254" i="12" s="1"/>
  <c r="L1255" i="12" s="1"/>
  <c r="L1256" i="12" s="1"/>
  <c r="L1257" i="12" s="1"/>
  <c r="L1258" i="12" s="1"/>
  <c r="L1259" i="12" s="1"/>
  <c r="L1260" i="12" s="1"/>
  <c r="L1261" i="12" s="1"/>
  <c r="L1262" i="12" s="1"/>
  <c r="L1263" i="12" s="1"/>
  <c r="L1264" i="12" s="1"/>
  <c r="L1265" i="12" s="1"/>
  <c r="L1266" i="12" s="1"/>
  <c r="L1267" i="12" s="1"/>
  <c r="L1268" i="12" s="1"/>
  <c r="L1269" i="12" s="1"/>
  <c r="L1270" i="12" s="1"/>
  <c r="L1271" i="12" s="1"/>
  <c r="L1272" i="12" s="1"/>
  <c r="L1273" i="12" s="1"/>
  <c r="L1274" i="12" s="1"/>
  <c r="L1275" i="12" s="1"/>
  <c r="L1276" i="12" s="1"/>
  <c r="L1277" i="12" s="1"/>
  <c r="L1278" i="12" s="1"/>
  <c r="L1279" i="12" s="1"/>
  <c r="L1280" i="12" s="1"/>
  <c r="L1281" i="12" s="1"/>
  <c r="L1282" i="12" s="1"/>
  <c r="L1283" i="12" s="1"/>
  <c r="L1284" i="12" s="1"/>
  <c r="L1285" i="12" s="1"/>
  <c r="L1286" i="12" s="1"/>
  <c r="L1287" i="12" s="1"/>
  <c r="L1288" i="12" s="1"/>
  <c r="L1289" i="12" s="1"/>
  <c r="L1290" i="12" s="1"/>
  <c r="L1291" i="12" s="1"/>
  <c r="L1292" i="12" s="1"/>
  <c r="L1293" i="12" s="1"/>
  <c r="L1294" i="12" s="1"/>
  <c r="L1295" i="12" s="1"/>
  <c r="L1296" i="12" s="1"/>
  <c r="L1297" i="12" s="1"/>
  <c r="L1298" i="12" s="1"/>
  <c r="L1299" i="12" s="1"/>
  <c r="L1300" i="12" s="1"/>
  <c r="L1301" i="12" s="1"/>
  <c r="L1302" i="12" s="1"/>
  <c r="L1303" i="12" s="1"/>
  <c r="L1304" i="12" s="1"/>
  <c r="L1305" i="12" s="1"/>
  <c r="L1306" i="12" s="1"/>
  <c r="L1307" i="12" s="1"/>
  <c r="L1308" i="12" s="1"/>
  <c r="L1309" i="12" s="1"/>
  <c r="L1310" i="12" s="1"/>
  <c r="L1311" i="12" s="1"/>
  <c r="L1312" i="12" s="1"/>
  <c r="L1313" i="12" s="1"/>
  <c r="L1314" i="12" s="1"/>
  <c r="L1315" i="12" s="1"/>
  <c r="L1316" i="12" s="1"/>
  <c r="L1317" i="12" s="1"/>
  <c r="L1318" i="12" s="1"/>
  <c r="L1319" i="12" s="1"/>
  <c r="L1320" i="12" s="1"/>
  <c r="L1321" i="12" s="1"/>
  <c r="L1322" i="12" s="1"/>
  <c r="L1323" i="12" s="1"/>
  <c r="L1324" i="12" s="1"/>
  <c r="L1325" i="12" s="1"/>
  <c r="L1326" i="12" s="1"/>
  <c r="L1327" i="12" s="1"/>
  <c r="L1328" i="12" s="1"/>
  <c r="L1329" i="12" s="1"/>
  <c r="L1330" i="12" s="1"/>
  <c r="L1331" i="12" s="1"/>
  <c r="L1332" i="12" s="1"/>
  <c r="L1333" i="12" s="1"/>
  <c r="L1334" i="12" s="1"/>
  <c r="L1335" i="12" s="1"/>
  <c r="L1336" i="12" s="1"/>
  <c r="L1337" i="12" s="1"/>
  <c r="L1338" i="12" s="1"/>
  <c r="L1339" i="12" s="1"/>
  <c r="L1340" i="12" s="1"/>
  <c r="L1341" i="12" s="1"/>
  <c r="L1342" i="12" s="1"/>
  <c r="L1343" i="12" s="1"/>
  <c r="L1344" i="12" s="1"/>
  <c r="L1345" i="12" s="1"/>
  <c r="L1346" i="12" s="1"/>
  <c r="L1347" i="12" s="1"/>
  <c r="L1348" i="12" s="1"/>
  <c r="L1349" i="12" s="1"/>
  <c r="L1350" i="12" s="1"/>
  <c r="L1351" i="12" s="1"/>
  <c r="L1352" i="12" s="1"/>
  <c r="L1353" i="12" s="1"/>
  <c r="L1354" i="12" s="1"/>
  <c r="L1355" i="12" s="1"/>
  <c r="L1356" i="12" s="1"/>
  <c r="L1357" i="12" s="1"/>
  <c r="L1358" i="12" s="1"/>
  <c r="L1359" i="12" s="1"/>
  <c r="L1360" i="12" s="1"/>
  <c r="L1361" i="12" s="1"/>
  <c r="L1362" i="12" s="1"/>
  <c r="L1363" i="12" s="1"/>
  <c r="L1364" i="12" s="1"/>
  <c r="L1365" i="12" s="1"/>
  <c r="L1366" i="12" s="1"/>
  <c r="L1367" i="12" s="1"/>
  <c r="L1368" i="12" s="1"/>
  <c r="L1369" i="12" s="1"/>
  <c r="L1370" i="12" s="1"/>
  <c r="L1371" i="12" s="1"/>
  <c r="L1372" i="12" s="1"/>
  <c r="L1373" i="12" s="1"/>
  <c r="L1374" i="12" s="1"/>
  <c r="L1375" i="12" s="1"/>
  <c r="L1376" i="12" s="1"/>
  <c r="L1377" i="12" s="1"/>
  <c r="L1378" i="12" s="1"/>
  <c r="L1379" i="12" s="1"/>
  <c r="L1380" i="12" s="1"/>
  <c r="L1381" i="12" s="1"/>
  <c r="L1382" i="12" s="1"/>
  <c r="L1383" i="12" s="1"/>
  <c r="L1384" i="12" s="1"/>
  <c r="L1385" i="12" s="1"/>
  <c r="L1386" i="12" s="1"/>
  <c r="L1387" i="12" s="1"/>
  <c r="L1388" i="12" s="1"/>
  <c r="L1389" i="12" s="1"/>
  <c r="L1390" i="12" s="1"/>
  <c r="L1391" i="12" s="1"/>
  <c r="L1392" i="12" s="1"/>
  <c r="L1393" i="12" s="1"/>
  <c r="L1394" i="12" s="1"/>
  <c r="L1395" i="12" s="1"/>
  <c r="L1396" i="12" s="1"/>
  <c r="L1397" i="12" s="1"/>
  <c r="L1398" i="12" s="1"/>
  <c r="L1399" i="12" s="1"/>
  <c r="L1400" i="12" s="1"/>
  <c r="L1401" i="12" s="1"/>
  <c r="L1402" i="12" s="1"/>
  <c r="L1403" i="12" s="1"/>
  <c r="L1404" i="12" s="1"/>
  <c r="L1405" i="12" s="1"/>
  <c r="L1406" i="12" s="1"/>
  <c r="L1407" i="12" s="1"/>
  <c r="L1408" i="12" s="1"/>
  <c r="L1409" i="12" s="1"/>
  <c r="L1410" i="12" s="1"/>
  <c r="L1411" i="12" s="1"/>
  <c r="L1412" i="12" s="1"/>
  <c r="L1413" i="12" s="1"/>
  <c r="L1414" i="12" s="1"/>
  <c r="L1415" i="12" s="1"/>
  <c r="L1416" i="12" s="1"/>
  <c r="L1417" i="12" s="1"/>
  <c r="L1418" i="12" s="1"/>
  <c r="L1419" i="12" s="1"/>
  <c r="L1420" i="12" s="1"/>
  <c r="L1421" i="12" s="1"/>
  <c r="L1422" i="12" s="1"/>
  <c r="L1423" i="12" s="1"/>
  <c r="L1424" i="12" s="1"/>
  <c r="L1425" i="12" s="1"/>
  <c r="L1426" i="12" s="1"/>
  <c r="L1427" i="12" s="1"/>
  <c r="L1428" i="12" s="1"/>
  <c r="L1429" i="12" s="1"/>
  <c r="L1430" i="12" s="1"/>
  <c r="L1431" i="12" s="1"/>
  <c r="L1432" i="12" s="1"/>
  <c r="L1433" i="12" s="1"/>
  <c r="L1434" i="12" s="1"/>
  <c r="L1435" i="12" s="1"/>
  <c r="L1436" i="12" s="1"/>
  <c r="L1437" i="12" s="1"/>
  <c r="L1438" i="12" s="1"/>
  <c r="L1439" i="12" s="1"/>
  <c r="L1440" i="12" s="1"/>
  <c r="L1441" i="12" s="1"/>
  <c r="L1442" i="12" s="1"/>
  <c r="L1443" i="12" s="1"/>
  <c r="L1444" i="12" s="1"/>
  <c r="L1445" i="12" s="1"/>
  <c r="L1446" i="12" s="1"/>
  <c r="L1447" i="12" s="1"/>
  <c r="L1448" i="12" s="1"/>
  <c r="L1449" i="12" s="1"/>
  <c r="L1450" i="12" s="1"/>
  <c r="L1451" i="12" s="1"/>
  <c r="L1452" i="12" s="1"/>
  <c r="L1453" i="12" s="1"/>
  <c r="L1454" i="12" s="1"/>
  <c r="L1455" i="12" s="1"/>
  <c r="L1456" i="12" s="1"/>
  <c r="L1457" i="12" s="1"/>
  <c r="L1458" i="12" s="1"/>
  <c r="L1459" i="12" s="1"/>
  <c r="L1460" i="12" s="1"/>
  <c r="L1461" i="12" s="1"/>
  <c r="L1462" i="12" s="1"/>
  <c r="L1463" i="12" s="1"/>
  <c r="L1464" i="12" s="1"/>
  <c r="L1465" i="12" s="1"/>
  <c r="L1466" i="12" s="1"/>
  <c r="L1467" i="12" s="1"/>
  <c r="L1468" i="12" s="1"/>
  <c r="L1469" i="12" s="1"/>
  <c r="L1470" i="12" s="1"/>
  <c r="L1471" i="12" s="1"/>
  <c r="L1472" i="12" s="1"/>
  <c r="L1473" i="12" s="1"/>
  <c r="L1474" i="12" s="1"/>
  <c r="L1475" i="12" s="1"/>
  <c r="L1476" i="12" s="1"/>
  <c r="L1477" i="12" s="1"/>
  <c r="L1478" i="12" s="1"/>
  <c r="L1479" i="12" s="1"/>
  <c r="L1480" i="12" s="1"/>
  <c r="L1481" i="12" s="1"/>
  <c r="L1482" i="12" s="1"/>
  <c r="L1483" i="12" s="1"/>
  <c r="L1484" i="12" s="1"/>
  <c r="L1485" i="12" s="1"/>
  <c r="L1486" i="12" s="1"/>
  <c r="L1487" i="12" s="1"/>
  <c r="L1488" i="12" s="1"/>
  <c r="L1489" i="12" s="1"/>
  <c r="L1490" i="12" s="1"/>
  <c r="L1491" i="12" s="1"/>
  <c r="L1492" i="12" s="1"/>
  <c r="L1493" i="12" s="1"/>
  <c r="L1494" i="12" s="1"/>
  <c r="L1495" i="12" s="1"/>
  <c r="L1496" i="12" s="1"/>
  <c r="L1497" i="12" s="1"/>
  <c r="L1498" i="12" s="1"/>
  <c r="L1499" i="12" s="1"/>
  <c r="L1500" i="12" s="1"/>
  <c r="L1501" i="12" s="1"/>
  <c r="L1502" i="12" s="1"/>
  <c r="L1503" i="12" s="1"/>
  <c r="L1504" i="12" s="1"/>
  <c r="L1505" i="12" s="1"/>
  <c r="L1506" i="12" s="1"/>
  <c r="L1507" i="12" s="1"/>
  <c r="L1508" i="12" s="1"/>
  <c r="L1509" i="12" s="1"/>
  <c r="L1510" i="12" s="1"/>
  <c r="L1511" i="12" s="1"/>
  <c r="L1512" i="12" s="1"/>
  <c r="L1513" i="12" s="1"/>
  <c r="L1514" i="12" s="1"/>
  <c r="L1515" i="12" s="1"/>
  <c r="L1516" i="12" s="1"/>
  <c r="L1517" i="12" s="1"/>
  <c r="L1518" i="12" s="1"/>
  <c r="L1519" i="12" s="1"/>
  <c r="L1520" i="12" s="1"/>
  <c r="L1521" i="12" s="1"/>
  <c r="L1522" i="12" s="1"/>
  <c r="L1523" i="12" s="1"/>
  <c r="L1524" i="12" s="1"/>
  <c r="L1525" i="12" s="1"/>
  <c r="L1526" i="12" s="1"/>
  <c r="L1527" i="12" s="1"/>
  <c r="L1528" i="12" s="1"/>
  <c r="L1529" i="12" s="1"/>
  <c r="L1530" i="12" s="1"/>
  <c r="L1531" i="12" s="1"/>
  <c r="L1532" i="12" s="1"/>
  <c r="L1533" i="12" s="1"/>
  <c r="L1534" i="12" s="1"/>
  <c r="L1535" i="12" s="1"/>
  <c r="L1536" i="12" s="1"/>
  <c r="L1537" i="12" s="1"/>
  <c r="L1538" i="12" s="1"/>
  <c r="L1539" i="12" s="1"/>
  <c r="L1540" i="12" s="1"/>
  <c r="L1541" i="12" s="1"/>
  <c r="L1542" i="12" s="1"/>
  <c r="L1543" i="12" s="1"/>
  <c r="L1544" i="12" s="1"/>
  <c r="L1545" i="12" s="1"/>
  <c r="L1546" i="12" s="1"/>
  <c r="L1547" i="12" s="1"/>
  <c r="L1548" i="12" s="1"/>
  <c r="L1549" i="12" s="1"/>
  <c r="L1550" i="12" s="1"/>
  <c r="L1551" i="12" s="1"/>
  <c r="L1552" i="12" s="1"/>
  <c r="L1553" i="12" s="1"/>
  <c r="L1554" i="12" s="1"/>
  <c r="L1555" i="12" s="1"/>
  <c r="L1556" i="12" s="1"/>
  <c r="L1557" i="12" s="1"/>
  <c r="L1558" i="12" s="1"/>
  <c r="L1559" i="12" s="1"/>
  <c r="L1560" i="12" s="1"/>
  <c r="L1561" i="12" s="1"/>
  <c r="L1562" i="12" s="1"/>
  <c r="L1563" i="12" s="1"/>
  <c r="L1564" i="12" s="1"/>
  <c r="L1565" i="12" s="1"/>
  <c r="L1566" i="12" s="1"/>
  <c r="L1567" i="12" s="1"/>
  <c r="L1568" i="12" s="1"/>
  <c r="L1569" i="12" s="1"/>
  <c r="L1570" i="12" s="1"/>
  <c r="L1571" i="12" s="1"/>
  <c r="L1572" i="12" s="1"/>
  <c r="L1573" i="12" s="1"/>
  <c r="L1574" i="12" s="1"/>
  <c r="L1575" i="12" s="1"/>
  <c r="L1576" i="12" s="1"/>
  <c r="L1577" i="12" s="1"/>
  <c r="L1578" i="12" s="1"/>
  <c r="L1579" i="12" s="1"/>
  <c r="L1580" i="12" s="1"/>
  <c r="L1581" i="12" s="1"/>
  <c r="L1582" i="12" s="1"/>
  <c r="L1583" i="12" s="1"/>
  <c r="L1584" i="12" s="1"/>
  <c r="L1585" i="12" s="1"/>
  <c r="L1586" i="12" s="1"/>
  <c r="L1587" i="12" s="1"/>
  <c r="L1588" i="12" s="1"/>
  <c r="L1589" i="12" s="1"/>
  <c r="L1590" i="12" s="1"/>
  <c r="L1591" i="12" s="1"/>
  <c r="L1592" i="12" s="1"/>
  <c r="L1593" i="12" s="1"/>
  <c r="L1594" i="12" s="1"/>
  <c r="L1595" i="12" s="1"/>
  <c r="L1596" i="12" s="1"/>
  <c r="L1597" i="12" s="1"/>
  <c r="L1598" i="12" s="1"/>
  <c r="L1599" i="12" s="1"/>
  <c r="L1600" i="12" s="1"/>
  <c r="L1601" i="12" s="1"/>
  <c r="L1602" i="12" s="1"/>
  <c r="L1603" i="12" s="1"/>
  <c r="L1604" i="12" s="1"/>
  <c r="L1605" i="12" s="1"/>
  <c r="L1606" i="12" s="1"/>
  <c r="L1607" i="12" s="1"/>
  <c r="L1608" i="12" s="1"/>
  <c r="L1609" i="12" s="1"/>
  <c r="L1610" i="12" s="1"/>
  <c r="L1611" i="12" s="1"/>
  <c r="L1612" i="12" s="1"/>
  <c r="L1613" i="12" s="1"/>
  <c r="L1614" i="12" s="1"/>
  <c r="L1615" i="12" s="1"/>
  <c r="L1616" i="12" s="1"/>
  <c r="L1617" i="12" s="1"/>
  <c r="L1618" i="12" s="1"/>
  <c r="L1619" i="12" s="1"/>
  <c r="L1620" i="12" s="1"/>
  <c r="L1621" i="12" s="1"/>
  <c r="L1622" i="12" s="1"/>
  <c r="L1623" i="12" s="1"/>
  <c r="L1624" i="12" s="1"/>
  <c r="L1625" i="12" s="1"/>
  <c r="L1626" i="12" s="1"/>
  <c r="L1627" i="12" s="1"/>
  <c r="L1628" i="12" s="1"/>
  <c r="L1629" i="12" s="1"/>
  <c r="L1630" i="12" s="1"/>
  <c r="L1631" i="12" s="1"/>
  <c r="L1632" i="12" s="1"/>
  <c r="L1633" i="12" s="1"/>
  <c r="L1634" i="12" s="1"/>
  <c r="L1635" i="12" s="1"/>
  <c r="L1636" i="12" s="1"/>
  <c r="L1637" i="12" s="1"/>
  <c r="L1638" i="12" s="1"/>
  <c r="L1639" i="12" s="1"/>
  <c r="L1640" i="12" s="1"/>
  <c r="L1641" i="12" s="1"/>
  <c r="L1642" i="12" s="1"/>
  <c r="L1643" i="12" s="1"/>
  <c r="L1644" i="12" s="1"/>
  <c r="L1645" i="12" s="1"/>
  <c r="L1646" i="12" s="1"/>
  <c r="L1647" i="12" s="1"/>
  <c r="L1648" i="12" s="1"/>
  <c r="L1649" i="12" s="1"/>
  <c r="L1650" i="12" s="1"/>
  <c r="L1651" i="12" s="1"/>
  <c r="L1652" i="12" s="1"/>
  <c r="L1653" i="12" s="1"/>
  <c r="L1654" i="12" s="1"/>
  <c r="L1655" i="12" s="1"/>
  <c r="L1656" i="12" s="1"/>
  <c r="L1657" i="12" s="1"/>
  <c r="L1658" i="12" s="1"/>
  <c r="L1659" i="12" s="1"/>
  <c r="L1660" i="12" s="1"/>
  <c r="L1661" i="12" s="1"/>
  <c r="L1662" i="12" s="1"/>
  <c r="L1663" i="12" s="1"/>
  <c r="L1664" i="12" s="1"/>
  <c r="L1665" i="12" s="1"/>
  <c r="L1666" i="12" s="1"/>
  <c r="L1667" i="12" s="1"/>
  <c r="L1668" i="12" s="1"/>
  <c r="L1669" i="12" s="1"/>
  <c r="L1670" i="12" s="1"/>
  <c r="L1671" i="12" s="1"/>
  <c r="L1672" i="12" s="1"/>
  <c r="L1673" i="12" s="1"/>
  <c r="L1674" i="12" s="1"/>
  <c r="L1675" i="12" s="1"/>
  <c r="L1676" i="12" s="1"/>
  <c r="L1677" i="12" s="1"/>
  <c r="L1678" i="12" s="1"/>
  <c r="L1679" i="12" s="1"/>
  <c r="L1680" i="12" s="1"/>
  <c r="L1681" i="12" s="1"/>
  <c r="L1682" i="12" s="1"/>
  <c r="L1683" i="12" s="1"/>
  <c r="L1684" i="12" s="1"/>
  <c r="L1685" i="12" s="1"/>
  <c r="L1686" i="12" s="1"/>
  <c r="L1687" i="12" s="1"/>
  <c r="L1688" i="12" s="1"/>
  <c r="L1689" i="12" s="1"/>
  <c r="L1690" i="12" s="1"/>
  <c r="L1691" i="12" s="1"/>
  <c r="L1692" i="12" s="1"/>
  <c r="L1693" i="12" s="1"/>
  <c r="L1694" i="12" s="1"/>
  <c r="L1695" i="12" s="1"/>
  <c r="L1696" i="12" s="1"/>
  <c r="L1697" i="12" s="1"/>
  <c r="L1698" i="12" s="1"/>
  <c r="L1699" i="12" s="1"/>
  <c r="L1700" i="12" s="1"/>
  <c r="L1701" i="12" s="1"/>
  <c r="L1702" i="12" s="1"/>
  <c r="L1703" i="12" s="1"/>
  <c r="L1704" i="12" s="1"/>
  <c r="L1705" i="12" s="1"/>
  <c r="L1706" i="12" s="1"/>
  <c r="L1707" i="12" s="1"/>
  <c r="L1708" i="12" s="1"/>
  <c r="L1709" i="12" s="1"/>
  <c r="L1710" i="12" s="1"/>
  <c r="L1711" i="12" s="1"/>
  <c r="L1712" i="12" s="1"/>
  <c r="L1713" i="12" s="1"/>
  <c r="L1714" i="12" s="1"/>
  <c r="L1715" i="12" s="1"/>
  <c r="L1716" i="12" s="1"/>
  <c r="L1717" i="12" s="1"/>
  <c r="L1718" i="12" s="1"/>
  <c r="L1719" i="12" s="1"/>
  <c r="L1720" i="12" s="1"/>
  <c r="L1721" i="12" s="1"/>
  <c r="L1722" i="12" s="1"/>
  <c r="L1723" i="12" s="1"/>
  <c r="L1724" i="12" s="1"/>
  <c r="L1725" i="12" s="1"/>
  <c r="L1726" i="12" s="1"/>
  <c r="L1727" i="12" s="1"/>
  <c r="L1728" i="12" s="1"/>
  <c r="L1729" i="12" s="1"/>
  <c r="L1730" i="12" s="1"/>
  <c r="L1731" i="12" s="1"/>
  <c r="L1732" i="12" s="1"/>
  <c r="L1733" i="12" s="1"/>
  <c r="L1734" i="12" s="1"/>
  <c r="L1735" i="12" s="1"/>
  <c r="L1736" i="12" s="1"/>
  <c r="L1737" i="12" s="1"/>
  <c r="L1738" i="12" s="1"/>
  <c r="L1739" i="12" s="1"/>
  <c r="L1740" i="12" s="1"/>
  <c r="L1741" i="12" s="1"/>
  <c r="L1742" i="12" s="1"/>
  <c r="L1743" i="12" s="1"/>
  <c r="L1744" i="12" s="1"/>
  <c r="L1745" i="12" s="1"/>
  <c r="L1746" i="12" s="1"/>
  <c r="L1747" i="12" s="1"/>
  <c r="L1748" i="12" s="1"/>
  <c r="L1749" i="12" s="1"/>
  <c r="L1750" i="12" s="1"/>
  <c r="L1751" i="12" s="1"/>
  <c r="L1752" i="12" s="1"/>
  <c r="L1753" i="12" s="1"/>
  <c r="L1754" i="12" s="1"/>
  <c r="L1755" i="12" s="1"/>
  <c r="L1756" i="12" s="1"/>
  <c r="L1757" i="12" s="1"/>
  <c r="L1758" i="12" s="1"/>
  <c r="L1759" i="12" s="1"/>
  <c r="L1760" i="12" s="1"/>
  <c r="L1761" i="12" s="1"/>
  <c r="L1762" i="12" s="1"/>
  <c r="L1763" i="12" s="1"/>
  <c r="L1764" i="12" s="1"/>
  <c r="L1765" i="12" s="1"/>
  <c r="L1766" i="12" s="1"/>
  <c r="L1767" i="12" s="1"/>
  <c r="L1768" i="12" s="1"/>
  <c r="L1769" i="12" s="1"/>
  <c r="L1770" i="12" s="1"/>
  <c r="L1771" i="12" s="1"/>
  <c r="L1772" i="12" s="1"/>
  <c r="L1773" i="12" s="1"/>
  <c r="L1774" i="12" s="1"/>
  <c r="L1775" i="12" s="1"/>
  <c r="L1776" i="12" s="1"/>
  <c r="L1777" i="12" s="1"/>
  <c r="L1778" i="12" s="1"/>
  <c r="L1779" i="12" s="1"/>
  <c r="L1780" i="12" s="1"/>
  <c r="L1781" i="12" s="1"/>
  <c r="L1782" i="12" s="1"/>
  <c r="L1783" i="12" s="1"/>
  <c r="L1784" i="12" s="1"/>
  <c r="L1785" i="12" s="1"/>
  <c r="L1786" i="12" s="1"/>
  <c r="L1787" i="12" s="1"/>
  <c r="L1788" i="12" s="1"/>
  <c r="L1789" i="12" s="1"/>
  <c r="L1790" i="12" s="1"/>
  <c r="L1791" i="12" s="1"/>
  <c r="L1792" i="12" s="1"/>
  <c r="L1793" i="12" s="1"/>
  <c r="L1794" i="12" s="1"/>
  <c r="L1795" i="12" s="1"/>
  <c r="L1796" i="12" s="1"/>
  <c r="L1797" i="12" s="1"/>
  <c r="L1798" i="12" s="1"/>
  <c r="L1799" i="12" s="1"/>
  <c r="L1800" i="12" s="1"/>
  <c r="L1801" i="12" s="1"/>
  <c r="L1802" i="12" s="1"/>
  <c r="L1803" i="12" s="1"/>
  <c r="L1804" i="12" s="1"/>
  <c r="L1805" i="12" s="1"/>
  <c r="L1806" i="12" s="1"/>
  <c r="L1807" i="12" s="1"/>
  <c r="L1808" i="12" s="1"/>
  <c r="L1809" i="12" s="1"/>
  <c r="L1810" i="12" s="1"/>
  <c r="L1811" i="12" s="1"/>
  <c r="L1812" i="12" s="1"/>
  <c r="L1813" i="12" s="1"/>
  <c r="L1814" i="12" s="1"/>
  <c r="L1815" i="12" s="1"/>
  <c r="L1816" i="12" s="1"/>
  <c r="L1817" i="12" s="1"/>
  <c r="L1818" i="12" s="1"/>
  <c r="L1819" i="12" s="1"/>
  <c r="L1820" i="12" s="1"/>
  <c r="L1821" i="12" s="1"/>
  <c r="L1822" i="12" s="1"/>
  <c r="L1823" i="12" s="1"/>
  <c r="L1824" i="12" s="1"/>
  <c r="L1825" i="12" s="1"/>
  <c r="L1826" i="12" s="1"/>
  <c r="L1827" i="12" s="1"/>
  <c r="L1828" i="12" s="1"/>
  <c r="L1829" i="12" s="1"/>
  <c r="L1830" i="12" s="1"/>
  <c r="L1831" i="12" s="1"/>
  <c r="L1832" i="12" s="1"/>
  <c r="L1833" i="12" s="1"/>
  <c r="L1834" i="12" s="1"/>
  <c r="L1835" i="12" s="1"/>
  <c r="L1836" i="12" s="1"/>
  <c r="L1837" i="12" s="1"/>
  <c r="L1838" i="12" s="1"/>
  <c r="L1839" i="12" s="1"/>
  <c r="L1840" i="12" s="1"/>
  <c r="L1841" i="12" s="1"/>
  <c r="L1842" i="12" s="1"/>
  <c r="L1843" i="12" s="1"/>
  <c r="L1844" i="12" s="1"/>
  <c r="L1845" i="12" s="1"/>
  <c r="L1846" i="12" s="1"/>
  <c r="L1847" i="12" s="1"/>
  <c r="L1848" i="12" s="1"/>
  <c r="L1849" i="12" s="1"/>
  <c r="L1850" i="12" s="1"/>
  <c r="L1851" i="12" s="1"/>
  <c r="L1852" i="12" s="1"/>
  <c r="L1853" i="12" s="1"/>
  <c r="L1854" i="12" s="1"/>
  <c r="L1855" i="12" s="1"/>
  <c r="L1856" i="12" s="1"/>
  <c r="L1857" i="12" s="1"/>
  <c r="L1858" i="12" s="1"/>
  <c r="L1859" i="12" s="1"/>
  <c r="L1860" i="12" s="1"/>
  <c r="L1861" i="12" s="1"/>
  <c r="L1862" i="12" s="1"/>
  <c r="L1863" i="12" s="1"/>
  <c r="L1864" i="12" s="1"/>
  <c r="L1865" i="12" s="1"/>
  <c r="L1866" i="12" s="1"/>
  <c r="L1867" i="12" s="1"/>
  <c r="L1868" i="12" s="1"/>
  <c r="L1869" i="12" s="1"/>
  <c r="L1870" i="12" s="1"/>
  <c r="L1871" i="12" s="1"/>
  <c r="L1872" i="12" s="1"/>
  <c r="L1873" i="12" s="1"/>
  <c r="L1874" i="12" s="1"/>
  <c r="L1875" i="12" s="1"/>
  <c r="L1876" i="12" s="1"/>
  <c r="L1877" i="12" s="1"/>
  <c r="L1878" i="12" s="1"/>
  <c r="L1879" i="12" s="1"/>
  <c r="L1880" i="12" s="1"/>
  <c r="L1881" i="12" s="1"/>
  <c r="L1882" i="12" s="1"/>
  <c r="L1883" i="12" s="1"/>
  <c r="L1884" i="12" s="1"/>
  <c r="L1885" i="12" s="1"/>
  <c r="L1886" i="12" s="1"/>
  <c r="L1887" i="12" s="1"/>
  <c r="L1888" i="12" s="1"/>
  <c r="L1889" i="12" s="1"/>
  <c r="L1890" i="12" s="1"/>
  <c r="L1891" i="12" s="1"/>
  <c r="L1892" i="12" s="1"/>
  <c r="L1893" i="12" s="1"/>
  <c r="L1894" i="12" s="1"/>
  <c r="L1895" i="12" s="1"/>
  <c r="L1896" i="12" s="1"/>
  <c r="L1897" i="12" s="1"/>
  <c r="L1898" i="12" s="1"/>
  <c r="L1899" i="12" s="1"/>
  <c r="L1900" i="12" s="1"/>
  <c r="L1901" i="12" s="1"/>
  <c r="L1902" i="12" s="1"/>
  <c r="L1903" i="12" s="1"/>
  <c r="L1904" i="12" s="1"/>
  <c r="L1905" i="12" s="1"/>
  <c r="L1906" i="12" s="1"/>
  <c r="L1907" i="12" s="1"/>
  <c r="L1908" i="12" s="1"/>
  <c r="L1909" i="12" s="1"/>
  <c r="L1910" i="12" s="1"/>
  <c r="L1911" i="12" s="1"/>
  <c r="L1912" i="12" s="1"/>
  <c r="L1913" i="12" s="1"/>
  <c r="L1914" i="12" s="1"/>
  <c r="L1915" i="12" s="1"/>
  <c r="L1916" i="12" s="1"/>
  <c r="L1917" i="12" s="1"/>
  <c r="L1918" i="12" s="1"/>
  <c r="L1919" i="12" s="1"/>
  <c r="L1920" i="12" s="1"/>
  <c r="L1921" i="12" s="1"/>
  <c r="L1922" i="12" s="1"/>
  <c r="L1923" i="12" s="1"/>
  <c r="L1924" i="12" s="1"/>
  <c r="L1925" i="12" s="1"/>
  <c r="L1926" i="12" s="1"/>
  <c r="L1927" i="12" s="1"/>
  <c r="L1928" i="12" s="1"/>
  <c r="L1929" i="12" s="1"/>
  <c r="L1930" i="12" s="1"/>
  <c r="L1931" i="12" s="1"/>
  <c r="L1932" i="12" s="1"/>
  <c r="L1933" i="12" s="1"/>
  <c r="L1934" i="12" s="1"/>
  <c r="L1935" i="12" s="1"/>
  <c r="L1936" i="12" s="1"/>
  <c r="L1937" i="12" s="1"/>
  <c r="L1938" i="12" s="1"/>
  <c r="L1939" i="12" s="1"/>
  <c r="L1940" i="12" s="1"/>
  <c r="L1941" i="12" s="1"/>
  <c r="L1942" i="12" s="1"/>
  <c r="L1943" i="12" s="1"/>
  <c r="L1944" i="12" s="1"/>
  <c r="L1945" i="12" s="1"/>
  <c r="L1946" i="12" s="1"/>
  <c r="L1947" i="12" s="1"/>
  <c r="L1948" i="12" s="1"/>
  <c r="L1949" i="12" s="1"/>
  <c r="L1950" i="12" s="1"/>
  <c r="L1951" i="12" s="1"/>
  <c r="L1952" i="12" s="1"/>
  <c r="L1953" i="12" s="1"/>
  <c r="L1954" i="12" s="1"/>
  <c r="L1955" i="12" s="1"/>
  <c r="L1956" i="12" s="1"/>
  <c r="L1957" i="12" s="1"/>
  <c r="L1958" i="12" s="1"/>
  <c r="L1959" i="12" s="1"/>
  <c r="L1960" i="12" s="1"/>
  <c r="L1961" i="12" s="1"/>
  <c r="L1962" i="12" s="1"/>
  <c r="L1963" i="12" s="1"/>
  <c r="L1964" i="12" s="1"/>
  <c r="L1965" i="12" s="1"/>
  <c r="L1966" i="12" s="1"/>
  <c r="L1967" i="12" s="1"/>
  <c r="L1968" i="12" s="1"/>
  <c r="L1969" i="12" s="1"/>
  <c r="L1970" i="12" s="1"/>
  <c r="L1971" i="12" s="1"/>
  <c r="L1972" i="12" s="1"/>
  <c r="L1973" i="12" s="1"/>
  <c r="L1974" i="12" s="1"/>
  <c r="L1975" i="12" s="1"/>
  <c r="L1976" i="12" s="1"/>
  <c r="L1977" i="12" s="1"/>
  <c r="L1978" i="12" s="1"/>
  <c r="L1979" i="12" s="1"/>
  <c r="L1980" i="12" s="1"/>
  <c r="L1981" i="12" s="1"/>
  <c r="L1982" i="12" s="1"/>
  <c r="L1983" i="12" s="1"/>
  <c r="L1984" i="12" s="1"/>
  <c r="L1985" i="12" s="1"/>
  <c r="L1986" i="12" s="1"/>
  <c r="L1987" i="12" s="1"/>
  <c r="L1988" i="12" s="1"/>
  <c r="L1989" i="12" s="1"/>
  <c r="L1990" i="12" s="1"/>
  <c r="L1991" i="12" s="1"/>
  <c r="L1992" i="12" s="1"/>
  <c r="L1993" i="12" s="1"/>
  <c r="L1994" i="12" s="1"/>
  <c r="L1995" i="12" s="1"/>
  <c r="L1996" i="12" s="1"/>
  <c r="L1997" i="12" s="1"/>
  <c r="L1998" i="12" s="1"/>
  <c r="L1999" i="12" s="1"/>
  <c r="L2000" i="12" s="1"/>
  <c r="L2001" i="12" s="1"/>
  <c r="L2002" i="12" s="1"/>
  <c r="L2003" i="12" s="1"/>
  <c r="L2004" i="12" s="1"/>
  <c r="L2005" i="12" s="1"/>
  <c r="L2006" i="12" s="1"/>
  <c r="L2007" i="12" s="1"/>
  <c r="L2008" i="12" s="1"/>
  <c r="L2009" i="12" s="1"/>
  <c r="L2010" i="12" s="1"/>
  <c r="L2011" i="12" s="1"/>
  <c r="L2012" i="12" s="1"/>
  <c r="L2013" i="12" s="1"/>
  <c r="L2014" i="12" s="1"/>
  <c r="L2015" i="12" s="1"/>
  <c r="L2016" i="12" s="1"/>
  <c r="L2017" i="12" s="1"/>
  <c r="L2018" i="12" s="1"/>
  <c r="L2019" i="12" s="1"/>
  <c r="L2020" i="12" s="1"/>
  <c r="L2021" i="12" s="1"/>
  <c r="L2022" i="12" s="1"/>
  <c r="L2023" i="12" s="1"/>
  <c r="L2024" i="12" s="1"/>
  <c r="L2025" i="12" s="1"/>
  <c r="L2026" i="12" s="1"/>
  <c r="L2027" i="12" s="1"/>
  <c r="L2028" i="12" s="1"/>
  <c r="L2029" i="12" s="1"/>
  <c r="L2030" i="12" s="1"/>
  <c r="L2031" i="12" s="1"/>
  <c r="L2032" i="12" s="1"/>
  <c r="L2033" i="12" s="1"/>
  <c r="L2034" i="12" s="1"/>
  <c r="L2035" i="12" s="1"/>
  <c r="L2036" i="12" s="1"/>
  <c r="L2037" i="12" s="1"/>
  <c r="L2038" i="12" s="1"/>
  <c r="L2039" i="12" s="1"/>
  <c r="L2040" i="12" s="1"/>
  <c r="L2041" i="12" s="1"/>
  <c r="L2042" i="12" s="1"/>
  <c r="L2043" i="12" s="1"/>
  <c r="L2044" i="12" s="1"/>
  <c r="L2045" i="12" s="1"/>
  <c r="L2046" i="12" s="1"/>
  <c r="L2047" i="12" s="1"/>
  <c r="L2048" i="12" s="1"/>
  <c r="L2049" i="12" s="1"/>
  <c r="L2050" i="12" s="1"/>
  <c r="L2051" i="12" s="1"/>
  <c r="L2052" i="12" s="1"/>
  <c r="L2053" i="12" s="1"/>
  <c r="L2054" i="12" s="1"/>
  <c r="L2055" i="12" s="1"/>
  <c r="L2056" i="12" s="1"/>
  <c r="L2057" i="12" s="1"/>
  <c r="L2058" i="12" s="1"/>
  <c r="L2059" i="12" s="1"/>
  <c r="L2060" i="12" s="1"/>
  <c r="L2061" i="12" s="1"/>
  <c r="L2062" i="12" s="1"/>
  <c r="L2063" i="12" s="1"/>
  <c r="L2064" i="12" s="1"/>
  <c r="L2065" i="12" s="1"/>
  <c r="L2066" i="12" s="1"/>
  <c r="L2067" i="12" s="1"/>
  <c r="L2068" i="12" s="1"/>
  <c r="L2069" i="12" s="1"/>
  <c r="L2070" i="12" s="1"/>
  <c r="L2071" i="12" s="1"/>
  <c r="L2072" i="12" s="1"/>
  <c r="L2073" i="12" s="1"/>
  <c r="L2074" i="12" s="1"/>
  <c r="L2075" i="12" s="1"/>
  <c r="L2076" i="12" s="1"/>
  <c r="L2077" i="12" s="1"/>
  <c r="L2078" i="12" s="1"/>
  <c r="L2079" i="12" s="1"/>
  <c r="L2080" i="12" s="1"/>
  <c r="L2081" i="12" s="1"/>
  <c r="L2082" i="12" s="1"/>
  <c r="L2083" i="12" s="1"/>
  <c r="L2084" i="12" s="1"/>
  <c r="L2085" i="12" s="1"/>
  <c r="L2086" i="12" s="1"/>
  <c r="L2087" i="12" s="1"/>
  <c r="L2088" i="12" s="1"/>
  <c r="L2089" i="12" s="1"/>
  <c r="L2090" i="12" s="1"/>
  <c r="L2091" i="12" s="1"/>
  <c r="L2092" i="12" s="1"/>
  <c r="L2093" i="12" s="1"/>
  <c r="L2094" i="12" s="1"/>
  <c r="L2095" i="12" s="1"/>
  <c r="L2096" i="12" s="1"/>
  <c r="L2097" i="12" s="1"/>
  <c r="L2098" i="12" s="1"/>
  <c r="L2099" i="12" s="1"/>
  <c r="L2100" i="12" s="1"/>
  <c r="L2101" i="12" s="1"/>
  <c r="L2102" i="12" s="1"/>
  <c r="L2103" i="12" s="1"/>
  <c r="L2104" i="12" s="1"/>
  <c r="L2105" i="12" s="1"/>
  <c r="L2106" i="12" s="1"/>
  <c r="L2107" i="12" s="1"/>
  <c r="L2108" i="12" s="1"/>
  <c r="L2109" i="12" s="1"/>
  <c r="L2110" i="12" s="1"/>
  <c r="L2111" i="12" s="1"/>
  <c r="L2112" i="12" s="1"/>
  <c r="L2113" i="12" s="1"/>
  <c r="L2114" i="12" s="1"/>
  <c r="L2115" i="12" s="1"/>
  <c r="L2116" i="12" s="1"/>
  <c r="L2117" i="12" s="1"/>
  <c r="L2118" i="12" s="1"/>
  <c r="L2119" i="12" s="1"/>
  <c r="L2120" i="12" s="1"/>
  <c r="L2121" i="12" s="1"/>
  <c r="L2122" i="12" s="1"/>
  <c r="L2123" i="12" s="1"/>
  <c r="L2124" i="12" s="1"/>
  <c r="L2125" i="12" s="1"/>
  <c r="L2126" i="12" s="1"/>
  <c r="L2127" i="12" s="1"/>
  <c r="L2128" i="12" s="1"/>
  <c r="L2129" i="12" s="1"/>
  <c r="L2130" i="12" s="1"/>
  <c r="L2131" i="12" s="1"/>
  <c r="L2132" i="12" s="1"/>
  <c r="L2133" i="12" s="1"/>
  <c r="L2134" i="12" s="1"/>
  <c r="L2135" i="12" s="1"/>
  <c r="L2136" i="12" s="1"/>
  <c r="L2137" i="12" s="1"/>
  <c r="L2138" i="12" s="1"/>
  <c r="L2139" i="12" s="1"/>
  <c r="L2140" i="12" s="1"/>
  <c r="L2141" i="12" s="1"/>
  <c r="L2142" i="12" s="1"/>
  <c r="L2143" i="12" s="1"/>
  <c r="L2144" i="12" s="1"/>
  <c r="L2145" i="12" s="1"/>
  <c r="L2146" i="12" s="1"/>
  <c r="L2147" i="12" s="1"/>
  <c r="L2148" i="12" s="1"/>
  <c r="L2149" i="12" s="1"/>
  <c r="L2150" i="12" s="1"/>
  <c r="L2151" i="12" s="1"/>
  <c r="L2152" i="12" s="1"/>
  <c r="L2153" i="12" s="1"/>
  <c r="L2154" i="12" s="1"/>
  <c r="L2155" i="12" s="1"/>
  <c r="L2156" i="12" s="1"/>
  <c r="L2157" i="12" s="1"/>
  <c r="L2158" i="12" s="1"/>
  <c r="L2159" i="12" s="1"/>
  <c r="L2160" i="12" s="1"/>
  <c r="L2161" i="12" s="1"/>
  <c r="L2162" i="12" s="1"/>
  <c r="L2163" i="12" s="1"/>
  <c r="L2164" i="12" s="1"/>
  <c r="L2165" i="12" s="1"/>
  <c r="L2166" i="12" s="1"/>
  <c r="L2167" i="12" s="1"/>
  <c r="L2168" i="12" s="1"/>
  <c r="L2169" i="12" s="1"/>
  <c r="L2170" i="12" s="1"/>
  <c r="L2171" i="12" s="1"/>
  <c r="L2172" i="12" s="1"/>
  <c r="L2173" i="12" s="1"/>
  <c r="L2174" i="12" s="1"/>
  <c r="L2175" i="12" s="1"/>
  <c r="L2176" i="12" s="1"/>
  <c r="L2177" i="12" s="1"/>
  <c r="L2178" i="12" s="1"/>
  <c r="L2179" i="12" s="1"/>
  <c r="L2180" i="12" s="1"/>
  <c r="L2181" i="12" s="1"/>
  <c r="L2182" i="12" s="1"/>
  <c r="L2183" i="12" s="1"/>
  <c r="L2184" i="12" s="1"/>
  <c r="L2185" i="12" s="1"/>
  <c r="L2186" i="12" s="1"/>
  <c r="L2187" i="12" s="1"/>
  <c r="L2188" i="12" s="1"/>
  <c r="L2189" i="12" s="1"/>
  <c r="L2190" i="12" s="1"/>
  <c r="L2191" i="12" s="1"/>
  <c r="L2192" i="12" s="1"/>
  <c r="L2193" i="12" s="1"/>
  <c r="L2194" i="12" s="1"/>
  <c r="L2195" i="12" s="1"/>
  <c r="L2196" i="12" s="1"/>
  <c r="L2197" i="12" s="1"/>
  <c r="L2198" i="12" s="1"/>
  <c r="L2199" i="12" s="1"/>
  <c r="L2200" i="12" s="1"/>
  <c r="L2201" i="12" s="1"/>
  <c r="L2202" i="12" s="1"/>
  <c r="L2203" i="12" s="1"/>
  <c r="L2204" i="12" s="1"/>
  <c r="L2205" i="12" s="1"/>
  <c r="L2206" i="12" s="1"/>
  <c r="L2207" i="12" s="1"/>
  <c r="L2208" i="12" s="1"/>
  <c r="L2209" i="12" s="1"/>
  <c r="L2210" i="12" s="1"/>
  <c r="L2211" i="12" s="1"/>
  <c r="L2212" i="12" s="1"/>
  <c r="L2213" i="12" s="1"/>
  <c r="L2214" i="12" s="1"/>
  <c r="L2215" i="12" s="1"/>
  <c r="L2216" i="12" s="1"/>
  <c r="L2217" i="12" s="1"/>
  <c r="L2218" i="12" s="1"/>
  <c r="L2219" i="12" s="1"/>
  <c r="L2220" i="12" s="1"/>
  <c r="L2221" i="12" s="1"/>
  <c r="L2222" i="12" s="1"/>
  <c r="L2223" i="12" s="1"/>
  <c r="L2224" i="12" s="1"/>
  <c r="L2225" i="12" s="1"/>
  <c r="L2226" i="12" s="1"/>
  <c r="L2227" i="12" s="1"/>
  <c r="L2228" i="12" s="1"/>
  <c r="L2229" i="12" s="1"/>
  <c r="L2230" i="12" s="1"/>
  <c r="L2231" i="12" s="1"/>
  <c r="L2232" i="12" s="1"/>
  <c r="L2233" i="12" s="1"/>
  <c r="L2234" i="12" s="1"/>
  <c r="L2235" i="12" s="1"/>
  <c r="L2236" i="12" s="1"/>
  <c r="L2237" i="12" s="1"/>
  <c r="L2238" i="12" s="1"/>
  <c r="L2239" i="12" s="1"/>
  <c r="L2240" i="12" s="1"/>
  <c r="L2241" i="12" s="1"/>
  <c r="L2242" i="12" s="1"/>
  <c r="L2243" i="12" s="1"/>
  <c r="L2244" i="12" s="1"/>
  <c r="L2245" i="12" s="1"/>
  <c r="L2246" i="12" s="1"/>
  <c r="L2247" i="12" s="1"/>
  <c r="L2248" i="12" s="1"/>
  <c r="L2249" i="12" s="1"/>
  <c r="L2250" i="12" s="1"/>
  <c r="L2251" i="12" s="1"/>
  <c r="L2252" i="12" s="1"/>
  <c r="L2253" i="12" s="1"/>
  <c r="L2254" i="12" s="1"/>
  <c r="L2255" i="12" s="1"/>
  <c r="L2256" i="12" s="1"/>
  <c r="L2257" i="12" s="1"/>
  <c r="L2258" i="12" s="1"/>
  <c r="L2259" i="12" s="1"/>
  <c r="L2260" i="12" s="1"/>
  <c r="L2261" i="12" s="1"/>
  <c r="L2262" i="12" s="1"/>
  <c r="L2263" i="12" s="1"/>
  <c r="L2264" i="12" s="1"/>
  <c r="L2265" i="12" s="1"/>
  <c r="L2266" i="12" s="1"/>
  <c r="L2267" i="12" s="1"/>
  <c r="L2268" i="12" s="1"/>
  <c r="L2269" i="12" s="1"/>
  <c r="L2270" i="12" s="1"/>
  <c r="L2271" i="12" s="1"/>
  <c r="L2272" i="12" s="1"/>
  <c r="L2273" i="12" s="1"/>
  <c r="L2274" i="12" s="1"/>
  <c r="L2275" i="12" s="1"/>
  <c r="L2276" i="12" s="1"/>
  <c r="L2277" i="12" s="1"/>
  <c r="L2278" i="12" s="1"/>
  <c r="L2279" i="12" s="1"/>
  <c r="L2280" i="12" s="1"/>
  <c r="L2281" i="12" s="1"/>
  <c r="L2282" i="12" s="1"/>
  <c r="L2283" i="12" s="1"/>
  <c r="L2284" i="12" s="1"/>
  <c r="L2285" i="12" s="1"/>
  <c r="L2286" i="12" s="1"/>
  <c r="L2287" i="12" s="1"/>
  <c r="L2288" i="12" s="1"/>
  <c r="L2289" i="12" s="1"/>
  <c r="L2290" i="12" s="1"/>
  <c r="L2291" i="12" s="1"/>
  <c r="L2292" i="12" s="1"/>
  <c r="L2293" i="12" s="1"/>
  <c r="L2294" i="12" s="1"/>
  <c r="L2295" i="12" s="1"/>
  <c r="L2296" i="12" s="1"/>
  <c r="L2297" i="12" s="1"/>
  <c r="L2298" i="12" s="1"/>
  <c r="L2299" i="12" s="1"/>
  <c r="L2300" i="12" s="1"/>
  <c r="L2301" i="12" s="1"/>
  <c r="L2302" i="12" s="1"/>
  <c r="L2303" i="12" s="1"/>
  <c r="L2304" i="12" s="1"/>
  <c r="L2305" i="12" s="1"/>
  <c r="L2306" i="12" s="1"/>
  <c r="L2307" i="12" s="1"/>
  <c r="L2308" i="12" s="1"/>
  <c r="L2309" i="12" s="1"/>
  <c r="L2310" i="12" s="1"/>
  <c r="L2311" i="12" s="1"/>
  <c r="L2312" i="12" s="1"/>
  <c r="L2313" i="12" s="1"/>
  <c r="L2314" i="12" s="1"/>
  <c r="L2315" i="12" s="1"/>
  <c r="L2316" i="12" s="1"/>
  <c r="L2317" i="12" s="1"/>
  <c r="L2318" i="12" s="1"/>
  <c r="L2319" i="12" s="1"/>
  <c r="L2320" i="12" s="1"/>
  <c r="L2321" i="12" s="1"/>
  <c r="L2322" i="12" s="1"/>
  <c r="L2323" i="12" s="1"/>
  <c r="L2324" i="12" s="1"/>
  <c r="L2325" i="12" s="1"/>
  <c r="L2326" i="12" s="1"/>
  <c r="L2327" i="12" s="1"/>
  <c r="L2328" i="12" s="1"/>
  <c r="L2329" i="12" s="1"/>
  <c r="L2330" i="12" s="1"/>
  <c r="L2331" i="12" s="1"/>
  <c r="L2332" i="12" s="1"/>
  <c r="L2333" i="12" s="1"/>
  <c r="L2334" i="12" s="1"/>
  <c r="L2335" i="12" s="1"/>
  <c r="L2336" i="12" s="1"/>
  <c r="L2337" i="12" s="1"/>
  <c r="L2338" i="12" s="1"/>
  <c r="L2339" i="12" s="1"/>
  <c r="L2340" i="12" s="1"/>
  <c r="L2341" i="12" s="1"/>
  <c r="L2342" i="12" s="1"/>
  <c r="L2343" i="12" s="1"/>
  <c r="L2344" i="12" s="1"/>
  <c r="L2345" i="12" s="1"/>
  <c r="L2346" i="12" s="1"/>
  <c r="L2347" i="12" s="1"/>
  <c r="L2348" i="12" s="1"/>
  <c r="L2349" i="12" s="1"/>
  <c r="L2350" i="12" s="1"/>
  <c r="L2351" i="12" s="1"/>
  <c r="L2352" i="12" s="1"/>
  <c r="L2353" i="12" s="1"/>
  <c r="L2354" i="12" s="1"/>
  <c r="L2355" i="12" s="1"/>
  <c r="L2356" i="12" s="1"/>
  <c r="L2357" i="12" s="1"/>
  <c r="L2358" i="12" s="1"/>
  <c r="L2359" i="12" s="1"/>
  <c r="L2360" i="12" s="1"/>
  <c r="L2361" i="12" s="1"/>
  <c r="L2362" i="12" s="1"/>
  <c r="L2363" i="12" s="1"/>
  <c r="L2364" i="12" s="1"/>
  <c r="L2365" i="12" s="1"/>
  <c r="L2366" i="12" s="1"/>
  <c r="L2367" i="12" s="1"/>
  <c r="L2368" i="12" s="1"/>
  <c r="L2369" i="12" s="1"/>
  <c r="L2370" i="12" s="1"/>
  <c r="L2371" i="12" s="1"/>
  <c r="L2372" i="12" s="1"/>
  <c r="L2373" i="12" s="1"/>
  <c r="L2374" i="12" s="1"/>
  <c r="L2375" i="12" s="1"/>
  <c r="L2376" i="12" s="1"/>
  <c r="L2377" i="12" s="1"/>
  <c r="L2378" i="12" s="1"/>
  <c r="L2379" i="12" s="1"/>
  <c r="L2380" i="12" s="1"/>
  <c r="L2381" i="12" s="1"/>
  <c r="L2382" i="12" s="1"/>
  <c r="L2383" i="12" s="1"/>
  <c r="L2384" i="12" s="1"/>
  <c r="L2385" i="12" s="1"/>
  <c r="L2386" i="12" s="1"/>
  <c r="L2387" i="12" s="1"/>
  <c r="L2388" i="12" s="1"/>
  <c r="L2389" i="12" s="1"/>
  <c r="L2390" i="12" s="1"/>
  <c r="L2391" i="12" s="1"/>
  <c r="L2392" i="12" s="1"/>
  <c r="L2393" i="12" s="1"/>
  <c r="L2394" i="12" s="1"/>
  <c r="L2395" i="12" s="1"/>
  <c r="L2396" i="12" s="1"/>
  <c r="L2397" i="12" s="1"/>
  <c r="L2398" i="12" s="1"/>
  <c r="L2399" i="12" s="1"/>
  <c r="L2400" i="12" s="1"/>
  <c r="L2401" i="12" s="1"/>
  <c r="L2402" i="12" s="1"/>
  <c r="L2403" i="12" s="1"/>
  <c r="L2404" i="12" s="1"/>
  <c r="L2405" i="12" s="1"/>
  <c r="L2406" i="12" s="1"/>
  <c r="L2407" i="12" s="1"/>
  <c r="L2408" i="12" s="1"/>
  <c r="L2409" i="12" s="1"/>
  <c r="L2410" i="12" s="1"/>
  <c r="L2411" i="12" s="1"/>
  <c r="L2412" i="12" s="1"/>
  <c r="L2413" i="12" s="1"/>
  <c r="L2414" i="12" s="1"/>
  <c r="L2415" i="12" s="1"/>
  <c r="L2416" i="12" s="1"/>
  <c r="L2417" i="12" s="1"/>
  <c r="L2418" i="12" s="1"/>
  <c r="L2419" i="12" s="1"/>
  <c r="L2420" i="12" s="1"/>
  <c r="L2421" i="12" s="1"/>
  <c r="L2422" i="12" s="1"/>
  <c r="L2423" i="12" s="1"/>
  <c r="L2424" i="12" s="1"/>
  <c r="L2425" i="12" s="1"/>
  <c r="L2426" i="12" s="1"/>
  <c r="L2427" i="12" s="1"/>
  <c r="L2428" i="12" s="1"/>
  <c r="L2429" i="12" s="1"/>
  <c r="L2430" i="12" s="1"/>
  <c r="L2431" i="12" s="1"/>
  <c r="L2432" i="12" s="1"/>
  <c r="L2433" i="12" s="1"/>
  <c r="L2434" i="12" s="1"/>
  <c r="L2435" i="12" s="1"/>
  <c r="L2436" i="12" s="1"/>
  <c r="L2437" i="12" s="1"/>
  <c r="L2438" i="12" s="1"/>
  <c r="L2439" i="12" s="1"/>
  <c r="L2440" i="12" s="1"/>
  <c r="L2441" i="12" s="1"/>
  <c r="L2442" i="12" s="1"/>
  <c r="L2443" i="12" s="1"/>
  <c r="L2444" i="12" s="1"/>
  <c r="L2445" i="12" s="1"/>
  <c r="L2446" i="12" s="1"/>
  <c r="L2447" i="12" s="1"/>
  <c r="L2448" i="12" s="1"/>
  <c r="L2449" i="12" s="1"/>
  <c r="L2450" i="12" s="1"/>
  <c r="L2451" i="12" s="1"/>
  <c r="L2452" i="12" s="1"/>
  <c r="L2453" i="12" s="1"/>
  <c r="L2454" i="12" s="1"/>
  <c r="L2455" i="12" s="1"/>
  <c r="L2456" i="12" s="1"/>
  <c r="L2457" i="12" s="1"/>
  <c r="L2458" i="12" s="1"/>
  <c r="L2459" i="12" s="1"/>
  <c r="L2460" i="12" s="1"/>
  <c r="L2461" i="12" s="1"/>
  <c r="L2462" i="12" s="1"/>
  <c r="L2463" i="12" s="1"/>
  <c r="L2464" i="12" s="1"/>
  <c r="L2465" i="12" s="1"/>
  <c r="L2466" i="12" s="1"/>
  <c r="L2467" i="12" s="1"/>
  <c r="L2468" i="12" s="1"/>
  <c r="L2469" i="12" s="1"/>
  <c r="L2470" i="12" s="1"/>
  <c r="L2471" i="12" s="1"/>
  <c r="L2472" i="12" s="1"/>
  <c r="L2473" i="12" s="1"/>
  <c r="L2474" i="12" s="1"/>
  <c r="L2475" i="12" s="1"/>
  <c r="L2476" i="12" s="1"/>
  <c r="L2477" i="12" s="1"/>
  <c r="L2478" i="12" s="1"/>
  <c r="L2479" i="12" s="1"/>
  <c r="L2480" i="12" s="1"/>
  <c r="L2481" i="12" s="1"/>
  <c r="L2482" i="12" s="1"/>
  <c r="L2483" i="12" s="1"/>
  <c r="L2484" i="12" s="1"/>
  <c r="L2485" i="12" s="1"/>
  <c r="L2486" i="12" s="1"/>
  <c r="L2487" i="12" s="1"/>
  <c r="L2488" i="12" s="1"/>
  <c r="L2489" i="12" s="1"/>
  <c r="L2490" i="12" s="1"/>
  <c r="L2491" i="12" s="1"/>
  <c r="L2492" i="12" s="1"/>
  <c r="L2493" i="12" s="1"/>
  <c r="L2494" i="12" s="1"/>
  <c r="L2495" i="12" s="1"/>
  <c r="L2496" i="12" s="1"/>
  <c r="L2497" i="12" s="1"/>
  <c r="L2498" i="12" s="1"/>
  <c r="L2499" i="12" s="1"/>
  <c r="L2500" i="12" s="1"/>
  <c r="L2501" i="12" s="1"/>
  <c r="L2502" i="12" s="1"/>
  <c r="L2503" i="12" s="1"/>
  <c r="L2504" i="12" s="1"/>
  <c r="L2505" i="12" s="1"/>
  <c r="L2506" i="12" s="1"/>
  <c r="L2507" i="12" s="1"/>
  <c r="L2508" i="12" s="1"/>
  <c r="L2509" i="12" s="1"/>
  <c r="L2510" i="12" s="1"/>
  <c r="L2511" i="12" s="1"/>
  <c r="L2512" i="12" s="1"/>
  <c r="L2513" i="12" s="1"/>
  <c r="L2514" i="12" s="1"/>
  <c r="L2515" i="12" s="1"/>
  <c r="L2516" i="12" s="1"/>
  <c r="L2517" i="12" s="1"/>
  <c r="L2518" i="12" s="1"/>
  <c r="L2519" i="12" s="1"/>
  <c r="L2520" i="12" s="1"/>
  <c r="L2521" i="12" s="1"/>
  <c r="L2522" i="12" s="1"/>
  <c r="L2523" i="12" s="1"/>
  <c r="L2524" i="12" s="1"/>
  <c r="L2525" i="12" s="1"/>
  <c r="L2526" i="12" s="1"/>
  <c r="L2527" i="12" s="1"/>
  <c r="L2528" i="12" s="1"/>
  <c r="L2529" i="12" s="1"/>
  <c r="L2530" i="12" s="1"/>
  <c r="L2531" i="12" s="1"/>
  <c r="L2532" i="12" s="1"/>
  <c r="L2533" i="12" s="1"/>
  <c r="L2534" i="12" s="1"/>
  <c r="L2535" i="12" s="1"/>
  <c r="L2536" i="12" s="1"/>
  <c r="L2537" i="12" s="1"/>
  <c r="L2538" i="12" s="1"/>
  <c r="L2539" i="12" s="1"/>
  <c r="L2540" i="12" s="1"/>
  <c r="L2541" i="12" s="1"/>
  <c r="L2542" i="12" s="1"/>
  <c r="L2543" i="12" s="1"/>
  <c r="L2544" i="12" s="1"/>
  <c r="L2545" i="12" s="1"/>
  <c r="L2546" i="12" s="1"/>
  <c r="L2547" i="12" s="1"/>
  <c r="L2548" i="12" s="1"/>
  <c r="L2549" i="12" s="1"/>
  <c r="L2550" i="12" s="1"/>
  <c r="L2551" i="12" s="1"/>
  <c r="L2552" i="12" s="1"/>
  <c r="L2553" i="12" s="1"/>
  <c r="L2554" i="12" s="1"/>
  <c r="L2555" i="12" s="1"/>
  <c r="L2556" i="12" s="1"/>
  <c r="L2557" i="12" s="1"/>
  <c r="L2558" i="12" s="1"/>
  <c r="L2559" i="12" s="1"/>
  <c r="L2560" i="12" s="1"/>
  <c r="L2561" i="12" s="1"/>
  <c r="L2562" i="12" s="1"/>
  <c r="L2563" i="12" s="1"/>
  <c r="L2564" i="12" s="1"/>
  <c r="L2565" i="12" s="1"/>
  <c r="L2566" i="12" s="1"/>
  <c r="L2567" i="12" s="1"/>
  <c r="L2568" i="12" s="1"/>
  <c r="L2569" i="12" s="1"/>
  <c r="L2570" i="12" s="1"/>
  <c r="L2571" i="12" s="1"/>
  <c r="L2572" i="12" s="1"/>
  <c r="L2573" i="12" s="1"/>
  <c r="L2574" i="12" s="1"/>
  <c r="L2575" i="12" s="1"/>
  <c r="L2576" i="12" s="1"/>
  <c r="L2577" i="12" s="1"/>
  <c r="L2578" i="12" s="1"/>
  <c r="L2579" i="12" s="1"/>
  <c r="L2580" i="12" s="1"/>
  <c r="L2581" i="12" s="1"/>
  <c r="L2582" i="12" s="1"/>
  <c r="L2583" i="12" s="1"/>
  <c r="L2584" i="12" s="1"/>
  <c r="L2585" i="12" s="1"/>
  <c r="L2586" i="12" s="1"/>
  <c r="L2587" i="12" s="1"/>
  <c r="L2588" i="12" s="1"/>
  <c r="L2589" i="12" s="1"/>
  <c r="L2590" i="12" s="1"/>
  <c r="L2591" i="12" s="1"/>
  <c r="L2592" i="12" s="1"/>
  <c r="L2593" i="12" s="1"/>
  <c r="L2594" i="12" s="1"/>
  <c r="L2595" i="12" s="1"/>
  <c r="L2596" i="12" s="1"/>
  <c r="L2597" i="12" s="1"/>
  <c r="L2598" i="12" s="1"/>
  <c r="L2599" i="12" s="1"/>
  <c r="L2600" i="12" s="1"/>
  <c r="L2601" i="12" s="1"/>
  <c r="L2602" i="12" s="1"/>
  <c r="L2603" i="12" s="1"/>
  <c r="L2604" i="12" s="1"/>
  <c r="L2605" i="12" s="1"/>
  <c r="L2606" i="12" s="1"/>
  <c r="L2607" i="12" s="1"/>
  <c r="L2608" i="12" s="1"/>
  <c r="L2609" i="12" s="1"/>
  <c r="L2610" i="12" s="1"/>
  <c r="L2611" i="12" s="1"/>
  <c r="L2612" i="12" s="1"/>
  <c r="L2613" i="12" s="1"/>
  <c r="L2614" i="12" s="1"/>
  <c r="L2615" i="12" s="1"/>
  <c r="L2616" i="12" s="1"/>
  <c r="L2617" i="12" s="1"/>
  <c r="L2618" i="12" s="1"/>
  <c r="L2619" i="12" s="1"/>
  <c r="L2620" i="12" s="1"/>
  <c r="L2621" i="12" s="1"/>
  <c r="L2622" i="12" s="1"/>
  <c r="L2623" i="12" s="1"/>
  <c r="L2624" i="12" s="1"/>
  <c r="L2625" i="12" s="1"/>
  <c r="L2626" i="12" s="1"/>
  <c r="L2627" i="12" s="1"/>
  <c r="L2628" i="12" s="1"/>
  <c r="L2629" i="12" s="1"/>
  <c r="L2630" i="12" s="1"/>
  <c r="L2631" i="12" s="1"/>
  <c r="L2632" i="12" s="1"/>
  <c r="L2633" i="12" s="1"/>
  <c r="L2634" i="12" s="1"/>
  <c r="L2635" i="12" s="1"/>
  <c r="L2636" i="12" s="1"/>
  <c r="L2637" i="12" s="1"/>
  <c r="L2638" i="12" s="1"/>
  <c r="L2639" i="12" s="1"/>
  <c r="L2640" i="12" s="1"/>
  <c r="L2641" i="12" s="1"/>
  <c r="L2642" i="12" s="1"/>
  <c r="L2643" i="12" s="1"/>
  <c r="L2644" i="12" s="1"/>
  <c r="L2645" i="12" s="1"/>
  <c r="L2646" i="12" s="1"/>
  <c r="L2647" i="12" s="1"/>
  <c r="L2648" i="12" s="1"/>
  <c r="L2649" i="12" s="1"/>
  <c r="L2650" i="12" s="1"/>
  <c r="L2651" i="12" s="1"/>
  <c r="L2652" i="12" s="1"/>
  <c r="L2653" i="12" s="1"/>
  <c r="L2654" i="12" s="1"/>
  <c r="L2655" i="12" s="1"/>
  <c r="L2656" i="12" s="1"/>
  <c r="L2657" i="12" s="1"/>
  <c r="L2658" i="12" s="1"/>
  <c r="L2659" i="12" s="1"/>
  <c r="L2660" i="12" s="1"/>
  <c r="L2661" i="12" s="1"/>
  <c r="L2662" i="12" s="1"/>
  <c r="L2663" i="12" s="1"/>
  <c r="L2664" i="12" s="1"/>
  <c r="L2665" i="12" s="1"/>
  <c r="L2666" i="12" s="1"/>
  <c r="L2667" i="12" s="1"/>
  <c r="L2668" i="12" s="1"/>
  <c r="L2669" i="12" s="1"/>
  <c r="L2670" i="12" s="1"/>
  <c r="L2671" i="12" s="1"/>
  <c r="L2672" i="12" s="1"/>
  <c r="L2673" i="12" s="1"/>
  <c r="L2674" i="12" s="1"/>
  <c r="L2675" i="12" s="1"/>
  <c r="L2676" i="12" s="1"/>
  <c r="L2677" i="12" s="1"/>
  <c r="L2678" i="12" s="1"/>
  <c r="L2679" i="12" s="1"/>
  <c r="L2680" i="12" s="1"/>
  <c r="L2681" i="12" s="1"/>
  <c r="L2682" i="12" s="1"/>
  <c r="L2683" i="12" s="1"/>
  <c r="L2684" i="12" s="1"/>
  <c r="L2685" i="12" s="1"/>
  <c r="L2686" i="12" s="1"/>
  <c r="L2687" i="12" s="1"/>
  <c r="L2688" i="12" s="1"/>
  <c r="L2689" i="12" s="1"/>
  <c r="L2690" i="12" s="1"/>
  <c r="L2691" i="12" s="1"/>
  <c r="L2692" i="12" s="1"/>
  <c r="L2693" i="12" s="1"/>
  <c r="L2694" i="12" s="1"/>
  <c r="L2695" i="12" s="1"/>
  <c r="L2696" i="12" s="1"/>
  <c r="L2697" i="12" s="1"/>
  <c r="L2698" i="12" s="1"/>
  <c r="L2699" i="12" s="1"/>
  <c r="L2700" i="12" s="1"/>
  <c r="L2701" i="12" s="1"/>
  <c r="L2702" i="12" s="1"/>
  <c r="L2703" i="12" s="1"/>
  <c r="L2704" i="12" s="1"/>
  <c r="L2705" i="12" s="1"/>
  <c r="L2706" i="12" s="1"/>
  <c r="L2707" i="12" s="1"/>
  <c r="L2708" i="12" s="1"/>
  <c r="L2709" i="12" s="1"/>
  <c r="L2710" i="12" s="1"/>
  <c r="L2711" i="12" s="1"/>
  <c r="L2712" i="12" s="1"/>
  <c r="L2713" i="12" s="1"/>
  <c r="L2714" i="12" s="1"/>
  <c r="L2715" i="12" s="1"/>
  <c r="L2716" i="12" s="1"/>
  <c r="L2717" i="12" s="1"/>
  <c r="L2718" i="12" s="1"/>
  <c r="L2719" i="12" s="1"/>
  <c r="L2720" i="12" s="1"/>
  <c r="L2721" i="12" s="1"/>
  <c r="L2722" i="12" s="1"/>
  <c r="L2723" i="12" s="1"/>
  <c r="L2724" i="12" s="1"/>
  <c r="L2725" i="12" s="1"/>
  <c r="L2726" i="12" s="1"/>
  <c r="L2727" i="12" s="1"/>
  <c r="L2728" i="12" s="1"/>
  <c r="L2729" i="12" s="1"/>
  <c r="L2730" i="12" s="1"/>
  <c r="L2731" i="12" s="1"/>
  <c r="L2732" i="12" s="1"/>
  <c r="L2733" i="12" s="1"/>
  <c r="L2734" i="12" s="1"/>
  <c r="L2735" i="12" s="1"/>
  <c r="L2736" i="12" s="1"/>
  <c r="L2737" i="12" s="1"/>
  <c r="L2738" i="12" s="1"/>
  <c r="L2739" i="12" s="1"/>
  <c r="L2740" i="12" s="1"/>
  <c r="L2741" i="12" s="1"/>
  <c r="L2742" i="12" s="1"/>
  <c r="L2743" i="12" s="1"/>
  <c r="L2744" i="12" s="1"/>
  <c r="L2745" i="12" s="1"/>
  <c r="L2746" i="12" s="1"/>
  <c r="L2747" i="12" s="1"/>
  <c r="L2748" i="12" s="1"/>
  <c r="L2749" i="12" s="1"/>
  <c r="L2750" i="12" s="1"/>
  <c r="L2751" i="12" s="1"/>
  <c r="L2752" i="12" s="1"/>
  <c r="L2753" i="12" s="1"/>
  <c r="L2754" i="12" s="1"/>
  <c r="L2755" i="12" s="1"/>
  <c r="L2756" i="12" s="1"/>
  <c r="L2757" i="12" s="1"/>
  <c r="L2758" i="12" s="1"/>
  <c r="L2759" i="12" s="1"/>
  <c r="L2760" i="12" s="1"/>
  <c r="L2761" i="12" s="1"/>
  <c r="L2762" i="12" s="1"/>
  <c r="L2763" i="12" s="1"/>
  <c r="L2764" i="12" s="1"/>
  <c r="L2765" i="12" s="1"/>
  <c r="L2766" i="12" s="1"/>
  <c r="L2767" i="12" s="1"/>
  <c r="L2768" i="12" s="1"/>
  <c r="L2769" i="12" s="1"/>
  <c r="L2770" i="12" s="1"/>
  <c r="L2771" i="12" s="1"/>
  <c r="L2772" i="12" s="1"/>
  <c r="L2773" i="12" s="1"/>
  <c r="L2774" i="12" s="1"/>
  <c r="L2775" i="12" s="1"/>
  <c r="L2776" i="12" s="1"/>
  <c r="L2777" i="12" s="1"/>
  <c r="L2778" i="12" s="1"/>
  <c r="L2779" i="12" s="1"/>
  <c r="L2780" i="12" s="1"/>
  <c r="L2781" i="12" s="1"/>
  <c r="L2782" i="12" s="1"/>
  <c r="L2783" i="12" s="1"/>
  <c r="L2784" i="12" s="1"/>
  <c r="L2785" i="12" s="1"/>
  <c r="L2786" i="12" s="1"/>
  <c r="L2787" i="12" s="1"/>
  <c r="L2788" i="12" s="1"/>
  <c r="L2789" i="12" s="1"/>
  <c r="L2790" i="12" s="1"/>
  <c r="L2791" i="12" s="1"/>
  <c r="L2792" i="12" s="1"/>
  <c r="L2793" i="12" s="1"/>
  <c r="L2794" i="12" s="1"/>
  <c r="L2795" i="12" s="1"/>
  <c r="L2796" i="12" s="1"/>
  <c r="L2797" i="12" s="1"/>
  <c r="L2798" i="12" s="1"/>
  <c r="L2799" i="12" s="1"/>
  <c r="L2800" i="12" s="1"/>
  <c r="L2801" i="12" s="1"/>
  <c r="L2802" i="12" s="1"/>
  <c r="L2803" i="12" s="1"/>
  <c r="L2804" i="12" s="1"/>
  <c r="L2805" i="12" s="1"/>
  <c r="L2806" i="12" s="1"/>
  <c r="L2807" i="12" s="1"/>
  <c r="L2808" i="12" s="1"/>
  <c r="L2809" i="12" s="1"/>
  <c r="L2810" i="12" s="1"/>
  <c r="L2811" i="12" s="1"/>
  <c r="L2812" i="12" s="1"/>
  <c r="L2813" i="12" s="1"/>
  <c r="L2814" i="12" s="1"/>
  <c r="L2815" i="12" s="1"/>
  <c r="L2816" i="12" s="1"/>
  <c r="L2817" i="12" s="1"/>
  <c r="L2818" i="12" s="1"/>
  <c r="L2819" i="12" s="1"/>
  <c r="L2820" i="12" s="1"/>
  <c r="L2821" i="12" s="1"/>
  <c r="L2822" i="12" s="1"/>
  <c r="L2823" i="12" s="1"/>
  <c r="L2824" i="12" s="1"/>
  <c r="L2825" i="12" s="1"/>
  <c r="L2826" i="12" s="1"/>
  <c r="L2827" i="12" s="1"/>
  <c r="L2828" i="12" s="1"/>
  <c r="L2829" i="12" s="1"/>
  <c r="L2830" i="12" s="1"/>
  <c r="L2831" i="12" s="1"/>
  <c r="L2832" i="12" s="1"/>
  <c r="L2833" i="12" s="1"/>
  <c r="L2834" i="12" s="1"/>
  <c r="L2835" i="12" s="1"/>
  <c r="L2836" i="12" s="1"/>
  <c r="L2837" i="12" s="1"/>
  <c r="L2838" i="12" s="1"/>
  <c r="L2839" i="12" s="1"/>
  <c r="L2840" i="12" s="1"/>
  <c r="L2841" i="12" s="1"/>
  <c r="L2842" i="12" s="1"/>
  <c r="L2843" i="12" s="1"/>
  <c r="L2844" i="12" s="1"/>
  <c r="L2845" i="12" s="1"/>
  <c r="L2846" i="12" s="1"/>
  <c r="L2847" i="12" s="1"/>
  <c r="L2848" i="12" s="1"/>
  <c r="L2849" i="12" s="1"/>
  <c r="L2850" i="12" s="1"/>
  <c r="L2851" i="12" s="1"/>
  <c r="L2852" i="12" s="1"/>
  <c r="L2853" i="12" s="1"/>
  <c r="L2854" i="12" s="1"/>
  <c r="L2855" i="12" s="1"/>
  <c r="L2856" i="12" s="1"/>
  <c r="L2857" i="12" s="1"/>
  <c r="L2858" i="12" s="1"/>
  <c r="L2859" i="12" s="1"/>
  <c r="L2860" i="12" s="1"/>
  <c r="L2861" i="12" s="1"/>
  <c r="L2862" i="12" s="1"/>
  <c r="L2863" i="12" s="1"/>
  <c r="L2864" i="12" s="1"/>
  <c r="L2865" i="12" s="1"/>
  <c r="L2866" i="12" s="1"/>
  <c r="L2867" i="12" s="1"/>
  <c r="L2868" i="12" s="1"/>
  <c r="L2869" i="12" s="1"/>
  <c r="L2870" i="12" s="1"/>
  <c r="L2871" i="12" s="1"/>
  <c r="L2872" i="12" s="1"/>
  <c r="L2873" i="12" s="1"/>
  <c r="L2874" i="12" s="1"/>
  <c r="L2875" i="12" s="1"/>
  <c r="L2876" i="12" s="1"/>
  <c r="L2877" i="12" s="1"/>
  <c r="L2878" i="12" s="1"/>
  <c r="L2879" i="12" s="1"/>
  <c r="L2880" i="12" s="1"/>
  <c r="L2881" i="12" s="1"/>
  <c r="L2882" i="12" s="1"/>
  <c r="L2883" i="12" s="1"/>
  <c r="L2884" i="12" s="1"/>
  <c r="L2885" i="12" s="1"/>
  <c r="L2886" i="12" s="1"/>
  <c r="L2887" i="12" s="1"/>
  <c r="L2888" i="12" s="1"/>
  <c r="L2889" i="12" s="1"/>
  <c r="L2890" i="12" s="1"/>
  <c r="L2891" i="12" s="1"/>
  <c r="L2892" i="12" s="1"/>
  <c r="L2893" i="12" s="1"/>
  <c r="L2894" i="12" s="1"/>
  <c r="L2895" i="12" s="1"/>
  <c r="L2896" i="12" s="1"/>
  <c r="L2897" i="12" s="1"/>
  <c r="L2898" i="12" s="1"/>
  <c r="L2899" i="12" s="1"/>
  <c r="L2900" i="12" s="1"/>
  <c r="L2901" i="12" s="1"/>
  <c r="L2902" i="12" s="1"/>
  <c r="L2903" i="12" s="1"/>
  <c r="L2904" i="12" s="1"/>
  <c r="L2905" i="12" s="1"/>
  <c r="L2906" i="12" s="1"/>
  <c r="L2907" i="12" s="1"/>
  <c r="L2908" i="12" s="1"/>
  <c r="L2909" i="12" s="1"/>
  <c r="L2910" i="12" s="1"/>
  <c r="L2911" i="12" s="1"/>
  <c r="L2912" i="12" s="1"/>
  <c r="L2913" i="12" s="1"/>
  <c r="L2914" i="12" s="1"/>
  <c r="L2915" i="12" s="1"/>
  <c r="L2916" i="12" s="1"/>
  <c r="L2917" i="12" s="1"/>
  <c r="L2918" i="12" s="1"/>
  <c r="L2919" i="12" s="1"/>
  <c r="L2920" i="12" s="1"/>
  <c r="L2921" i="12" s="1"/>
  <c r="L2922" i="12" s="1"/>
  <c r="L2923" i="12" s="1"/>
  <c r="L2924" i="12" s="1"/>
  <c r="L2925" i="12" s="1"/>
  <c r="L2926" i="12" s="1"/>
  <c r="L2927" i="12" s="1"/>
  <c r="L2928" i="12" s="1"/>
  <c r="L2929" i="12" s="1"/>
  <c r="L2930" i="12" s="1"/>
  <c r="L2931" i="12" s="1"/>
  <c r="L2932" i="12" s="1"/>
  <c r="L2933" i="12" s="1"/>
  <c r="L2934" i="12" s="1"/>
  <c r="L2935" i="12" s="1"/>
  <c r="L2936" i="12" s="1"/>
  <c r="L2937" i="12" s="1"/>
  <c r="L2938" i="12" s="1"/>
  <c r="L2939" i="12" s="1"/>
  <c r="L2940" i="12" s="1"/>
  <c r="L2941" i="12" s="1"/>
  <c r="L2942" i="12" s="1"/>
  <c r="L2943" i="12" s="1"/>
  <c r="L2944" i="12" s="1"/>
  <c r="L2945" i="12" s="1"/>
  <c r="L2946" i="12" s="1"/>
  <c r="L2947" i="12" s="1"/>
  <c r="L2948" i="12" s="1"/>
  <c r="L2949" i="12" s="1"/>
  <c r="L2950" i="12" s="1"/>
  <c r="L2951" i="12" s="1"/>
  <c r="L2952" i="12" s="1"/>
  <c r="L2953" i="12" s="1"/>
  <c r="L2954" i="12" s="1"/>
  <c r="L2955" i="12" s="1"/>
  <c r="L2956" i="12" s="1"/>
  <c r="L2957" i="12" s="1"/>
  <c r="L2958" i="12" s="1"/>
  <c r="L2959" i="12" s="1"/>
  <c r="L2960" i="12" s="1"/>
  <c r="L2961" i="12" s="1"/>
  <c r="L2962" i="12" s="1"/>
  <c r="L2963" i="12" s="1"/>
  <c r="L2964" i="12" s="1"/>
  <c r="L2965" i="12" s="1"/>
  <c r="L2966" i="12" s="1"/>
  <c r="L2967" i="12" s="1"/>
  <c r="L2968" i="12" s="1"/>
  <c r="L2969" i="12" s="1"/>
  <c r="L2970" i="12" s="1"/>
  <c r="L2971" i="12" s="1"/>
  <c r="L2972" i="12" s="1"/>
  <c r="L2973" i="12" s="1"/>
  <c r="L2974" i="12" s="1"/>
  <c r="L2975" i="12" s="1"/>
  <c r="L2976" i="12" s="1"/>
  <c r="L2977" i="12" s="1"/>
  <c r="L2978" i="12" s="1"/>
  <c r="L2979" i="12" s="1"/>
  <c r="L2980" i="12" s="1"/>
  <c r="L2981" i="12" s="1"/>
  <c r="L2982" i="12" s="1"/>
  <c r="L2983" i="12" s="1"/>
  <c r="L2984" i="12" s="1"/>
  <c r="L2985" i="12" s="1"/>
  <c r="L2986" i="12" s="1"/>
  <c r="L2987" i="12" s="1"/>
  <c r="L2988" i="12" s="1"/>
  <c r="L2989" i="12" s="1"/>
  <c r="L2990" i="12" s="1"/>
  <c r="L2991" i="12" s="1"/>
  <c r="L2992" i="12" s="1"/>
  <c r="L2993" i="12" s="1"/>
  <c r="L2994" i="12" s="1"/>
  <c r="L2995" i="12" s="1"/>
  <c r="L2996" i="12" s="1"/>
  <c r="L2997" i="12" s="1"/>
  <c r="L2998" i="12" s="1"/>
  <c r="L2999" i="12" s="1"/>
  <c r="L3000" i="12" s="1"/>
  <c r="L3001" i="12" s="1"/>
  <c r="L3002" i="12" s="1"/>
  <c r="L3003" i="12" s="1"/>
  <c r="L3004" i="12" s="1"/>
  <c r="L3005" i="12" s="1"/>
  <c r="L3006" i="12" s="1"/>
  <c r="L3007" i="12" s="1"/>
  <c r="L3008" i="12" s="1"/>
  <c r="L3009" i="12" s="1"/>
  <c r="L3010" i="12" s="1"/>
  <c r="L3011" i="12" s="1"/>
  <c r="L3012" i="12" s="1"/>
  <c r="L3013" i="12" s="1"/>
  <c r="L3014" i="12" s="1"/>
  <c r="L3015" i="12" s="1"/>
  <c r="L3016" i="12" s="1"/>
  <c r="L3017" i="12" s="1"/>
  <c r="L3018" i="12" s="1"/>
  <c r="L3019" i="12" s="1"/>
  <c r="L3020" i="12" s="1"/>
  <c r="L3021" i="12" s="1"/>
  <c r="L3022" i="12" s="1"/>
  <c r="L3023" i="12" s="1"/>
  <c r="L3024" i="12" s="1"/>
  <c r="L3025" i="12" s="1"/>
  <c r="L3026" i="12" s="1"/>
  <c r="L3027" i="12" s="1"/>
  <c r="L3028" i="12" s="1"/>
  <c r="L3029" i="12" s="1"/>
  <c r="L3030" i="12" s="1"/>
  <c r="L3031" i="12" s="1"/>
  <c r="L3032" i="12" s="1"/>
  <c r="L3033" i="12" s="1"/>
  <c r="L3034" i="12" s="1"/>
  <c r="L3035" i="12" s="1"/>
  <c r="L3036" i="12" s="1"/>
  <c r="L3037" i="12" s="1"/>
  <c r="L3038" i="12" s="1"/>
  <c r="L3039" i="12" s="1"/>
  <c r="L3040" i="12" s="1"/>
  <c r="L3041" i="12" s="1"/>
  <c r="L3042" i="12" s="1"/>
  <c r="L3043" i="12" s="1"/>
  <c r="L3044" i="12" s="1"/>
  <c r="L3045" i="12" s="1"/>
  <c r="L3046" i="12" s="1"/>
  <c r="L3047" i="12" s="1"/>
  <c r="L3048" i="12" s="1"/>
  <c r="L3049" i="12" s="1"/>
  <c r="L3050" i="12" s="1"/>
  <c r="L3051" i="12" s="1"/>
  <c r="L3052" i="12" s="1"/>
  <c r="L3053" i="12" s="1"/>
  <c r="L3054" i="12" s="1"/>
  <c r="L3055" i="12" s="1"/>
  <c r="L3056" i="12" s="1"/>
  <c r="L3057" i="12" s="1"/>
  <c r="L3058" i="12" s="1"/>
  <c r="L3059" i="12" s="1"/>
  <c r="L3060" i="12" s="1"/>
  <c r="L3061" i="12" s="1"/>
  <c r="L3062" i="12" s="1"/>
  <c r="L3063" i="12" s="1"/>
  <c r="L3064" i="12" s="1"/>
  <c r="L3065" i="12" s="1"/>
  <c r="L3066" i="12" s="1"/>
  <c r="L3067" i="12" s="1"/>
  <c r="L3068" i="12" s="1"/>
  <c r="L3069" i="12" s="1"/>
  <c r="L3070" i="12" s="1"/>
  <c r="L3071" i="12" s="1"/>
  <c r="L3072" i="12" s="1"/>
  <c r="L3073" i="12" s="1"/>
  <c r="L3074" i="12" s="1"/>
  <c r="L3075" i="12" s="1"/>
  <c r="L3076" i="12" s="1"/>
  <c r="L3077" i="12" s="1"/>
  <c r="L3078" i="12" s="1"/>
  <c r="L3079" i="12" s="1"/>
  <c r="L3080" i="12" s="1"/>
  <c r="L3081" i="12" s="1"/>
  <c r="L3082" i="12" s="1"/>
  <c r="L3083" i="12" s="1"/>
  <c r="L3084" i="12" s="1"/>
  <c r="L3085" i="12" s="1"/>
  <c r="L3086" i="12" s="1"/>
  <c r="L3087" i="12" s="1"/>
  <c r="L3088" i="12" s="1"/>
  <c r="L3089" i="12" s="1"/>
  <c r="L3090" i="12" s="1"/>
  <c r="L3091" i="12" s="1"/>
  <c r="L3092" i="12" s="1"/>
  <c r="L3093" i="12" s="1"/>
  <c r="L3094" i="12" s="1"/>
  <c r="L3095" i="12" s="1"/>
  <c r="L3096" i="12" s="1"/>
  <c r="L3097" i="12" s="1"/>
  <c r="L3098" i="12" s="1"/>
  <c r="L3099" i="12" s="1"/>
  <c r="L3100" i="12" s="1"/>
  <c r="L3101" i="12" s="1"/>
  <c r="L3102" i="12" s="1"/>
  <c r="L3103" i="12" s="1"/>
  <c r="L3104" i="12" s="1"/>
  <c r="L3105" i="12" s="1"/>
  <c r="L3106" i="12" s="1"/>
  <c r="L3107" i="12" s="1"/>
  <c r="L3108" i="12" s="1"/>
  <c r="L3109" i="12" s="1"/>
  <c r="L3110" i="12" s="1"/>
  <c r="L3111" i="12" s="1"/>
  <c r="L3112" i="12" s="1"/>
  <c r="L3113" i="12" s="1"/>
  <c r="L3114" i="12" s="1"/>
  <c r="L3115" i="12" s="1"/>
  <c r="L3116" i="12" s="1"/>
  <c r="L3117" i="12" s="1"/>
  <c r="L3118" i="12" s="1"/>
  <c r="L3119" i="12" s="1"/>
  <c r="L3120" i="12" s="1"/>
  <c r="L3121" i="12" s="1"/>
  <c r="L3122" i="12" s="1"/>
  <c r="L3123" i="12" s="1"/>
  <c r="L3124" i="12" s="1"/>
  <c r="L3125" i="12" s="1"/>
  <c r="L3126" i="12" s="1"/>
  <c r="L3127" i="12" s="1"/>
  <c r="L3128" i="12" s="1"/>
  <c r="L3129" i="12" s="1"/>
  <c r="L3130" i="12" s="1"/>
  <c r="L3131" i="12" s="1"/>
  <c r="L3132" i="12" s="1"/>
  <c r="L3133" i="12" s="1"/>
  <c r="L3134" i="12" s="1"/>
  <c r="L3135" i="12" s="1"/>
  <c r="L3136" i="12" s="1"/>
  <c r="L3137" i="12" s="1"/>
  <c r="L3138" i="12" s="1"/>
  <c r="L3139" i="12" s="1"/>
  <c r="L3140" i="12" s="1"/>
  <c r="L3141" i="12" s="1"/>
  <c r="L3142" i="12" s="1"/>
  <c r="L3143" i="12" s="1"/>
  <c r="L3144" i="12" s="1"/>
  <c r="L3145" i="12" s="1"/>
  <c r="L3146" i="12" s="1"/>
  <c r="L3147" i="12" s="1"/>
  <c r="L3148" i="12" s="1"/>
  <c r="L3149" i="12" s="1"/>
  <c r="L3150" i="12" s="1"/>
  <c r="L3151" i="12" s="1"/>
  <c r="L3152" i="12" s="1"/>
  <c r="L3153" i="12" s="1"/>
  <c r="L3154" i="12" s="1"/>
  <c r="L3155" i="12" s="1"/>
  <c r="L3156" i="12" s="1"/>
  <c r="L3157" i="12" s="1"/>
  <c r="L3158" i="12" s="1"/>
  <c r="L3159" i="12" s="1"/>
  <c r="L3160" i="12" s="1"/>
  <c r="L3161" i="12" s="1"/>
  <c r="L3162" i="12" s="1"/>
  <c r="L3163" i="12" s="1"/>
  <c r="L3164" i="12" s="1"/>
  <c r="L3165" i="12" s="1"/>
  <c r="L3166" i="12" s="1"/>
  <c r="L3167" i="12" s="1"/>
  <c r="L3168" i="12" s="1"/>
  <c r="L3169" i="12" s="1"/>
  <c r="L3170" i="12" s="1"/>
  <c r="L3171" i="12" s="1"/>
  <c r="L3172" i="12" s="1"/>
  <c r="L3173" i="12" s="1"/>
  <c r="L3174" i="12" s="1"/>
  <c r="L3175" i="12" s="1"/>
  <c r="L3176" i="12" s="1"/>
  <c r="L3177" i="12" s="1"/>
  <c r="L3178" i="12" s="1"/>
  <c r="L3179" i="12" s="1"/>
  <c r="L3180" i="12" s="1"/>
  <c r="L3181" i="12" s="1"/>
  <c r="L3182" i="12" s="1"/>
  <c r="L3183" i="12" s="1"/>
  <c r="L3184" i="12" s="1"/>
  <c r="L3185" i="12" s="1"/>
  <c r="L3186" i="12" s="1"/>
  <c r="L3187" i="12" s="1"/>
  <c r="L3188" i="12" s="1"/>
  <c r="L3189" i="12" s="1"/>
  <c r="L3190" i="12" s="1"/>
  <c r="L3191" i="12" s="1"/>
  <c r="L3192" i="12" s="1"/>
  <c r="L3193" i="12" s="1"/>
  <c r="L3194" i="12" s="1"/>
  <c r="L3195" i="12" s="1"/>
  <c r="L3196" i="12" s="1"/>
  <c r="L3197" i="12" s="1"/>
  <c r="L3198" i="12" s="1"/>
  <c r="L3199" i="12" s="1"/>
  <c r="L3200" i="12" s="1"/>
  <c r="L3201" i="12" s="1"/>
  <c r="L3202" i="12" s="1"/>
  <c r="L3203" i="12" s="1"/>
  <c r="L3204" i="12" s="1"/>
  <c r="L3205" i="12" s="1"/>
  <c r="L3206" i="12" s="1"/>
  <c r="L3207" i="12" s="1"/>
  <c r="L3208" i="12" s="1"/>
  <c r="L3209" i="12" s="1"/>
  <c r="L3210" i="12" s="1"/>
  <c r="L3211" i="12" s="1"/>
  <c r="L3212" i="12" s="1"/>
  <c r="L3213" i="12" s="1"/>
  <c r="L3214" i="12" s="1"/>
  <c r="L3215" i="12" s="1"/>
  <c r="L3216" i="12" s="1"/>
  <c r="L3217" i="12" s="1"/>
  <c r="L3218" i="12" s="1"/>
  <c r="L3219" i="12" s="1"/>
  <c r="L3220" i="12" s="1"/>
  <c r="L3221" i="12" s="1"/>
  <c r="L3222" i="12" s="1"/>
  <c r="L3223" i="12" s="1"/>
  <c r="L3224" i="12" s="1"/>
  <c r="L3225" i="12" s="1"/>
  <c r="L3226" i="12" s="1"/>
  <c r="L3227" i="12" s="1"/>
  <c r="L3228" i="12" s="1"/>
  <c r="L3229" i="12" s="1"/>
  <c r="L3230" i="12" s="1"/>
  <c r="L3231" i="12" s="1"/>
  <c r="L3232" i="12" s="1"/>
  <c r="L3233" i="12" s="1"/>
  <c r="L3234" i="12" s="1"/>
  <c r="L3235" i="12" s="1"/>
  <c r="L3236" i="12" s="1"/>
  <c r="L3237" i="12" s="1"/>
  <c r="L3238" i="12" s="1"/>
  <c r="L3239" i="12" s="1"/>
  <c r="L3240" i="12" s="1"/>
  <c r="L3241" i="12" s="1"/>
  <c r="L3242" i="12" s="1"/>
  <c r="L3243" i="12" s="1"/>
  <c r="L3244" i="12" s="1"/>
  <c r="L3245" i="12" s="1"/>
  <c r="L3246" i="12" s="1"/>
  <c r="L3247" i="12" s="1"/>
  <c r="L3248" i="12" s="1"/>
  <c r="L3249" i="12" s="1"/>
  <c r="L3250" i="12" s="1"/>
  <c r="L3251" i="12" s="1"/>
  <c r="L3252" i="12" s="1"/>
  <c r="L3253" i="12" s="1"/>
  <c r="L3254" i="12" s="1"/>
  <c r="L3255" i="12" s="1"/>
  <c r="L3256" i="12" s="1"/>
  <c r="L3257" i="12" s="1"/>
  <c r="L3258" i="12" s="1"/>
  <c r="L3259" i="12" s="1"/>
  <c r="L3260" i="12" s="1"/>
  <c r="L3261" i="12" s="1"/>
  <c r="L3262" i="12" s="1"/>
  <c r="L3263" i="12" s="1"/>
  <c r="L3264" i="12" s="1"/>
  <c r="L3265" i="12" s="1"/>
  <c r="L3266" i="12" s="1"/>
  <c r="L3267" i="12" s="1"/>
  <c r="L3268" i="12" s="1"/>
  <c r="L3269" i="12" s="1"/>
  <c r="L3270" i="12" s="1"/>
  <c r="L3271" i="12" s="1"/>
  <c r="L3272" i="12" s="1"/>
  <c r="L3273" i="12" s="1"/>
  <c r="L3274" i="12" s="1"/>
  <c r="L3275" i="12" s="1"/>
  <c r="L3276" i="12" s="1"/>
  <c r="L3277" i="12" s="1"/>
  <c r="L3278" i="12" s="1"/>
  <c r="L3279" i="12" s="1"/>
  <c r="L3280" i="12" s="1"/>
  <c r="L3281" i="12" s="1"/>
  <c r="L3282" i="12" s="1"/>
  <c r="L3283" i="12" s="1"/>
  <c r="L3284" i="12" s="1"/>
  <c r="L3285" i="12" s="1"/>
  <c r="L3286" i="12" s="1"/>
  <c r="L3287" i="12" s="1"/>
  <c r="L3288" i="12" s="1"/>
  <c r="L3289" i="12" s="1"/>
  <c r="L3290" i="12" s="1"/>
  <c r="L3291" i="12" s="1"/>
  <c r="L3292" i="12" s="1"/>
  <c r="L3293" i="12" s="1"/>
  <c r="L3294" i="12" s="1"/>
  <c r="L3295" i="12" s="1"/>
  <c r="L3296" i="12" s="1"/>
  <c r="L3297" i="12" s="1"/>
  <c r="L3298" i="12" s="1"/>
  <c r="L3299" i="12" s="1"/>
  <c r="L3300" i="12" s="1"/>
  <c r="L3301" i="12" s="1"/>
  <c r="L3302" i="12" s="1"/>
  <c r="L3303" i="12" s="1"/>
  <c r="L3304" i="12" s="1"/>
  <c r="L3305" i="12" s="1"/>
  <c r="L3306" i="12" s="1"/>
  <c r="L3307" i="12" s="1"/>
  <c r="L3308" i="12" s="1"/>
  <c r="L3309" i="12" s="1"/>
  <c r="L3310" i="12" s="1"/>
  <c r="L3311" i="12" s="1"/>
  <c r="L3312" i="12" s="1"/>
  <c r="L3313" i="12" s="1"/>
  <c r="L3314" i="12" s="1"/>
  <c r="L3315" i="12" s="1"/>
  <c r="L3316" i="12" s="1"/>
  <c r="L3317" i="12" s="1"/>
  <c r="L3318" i="12" s="1"/>
  <c r="L3319" i="12" s="1"/>
  <c r="L3320" i="12" s="1"/>
  <c r="L3321" i="12" s="1"/>
  <c r="L3322" i="12" s="1"/>
  <c r="L3323" i="12" s="1"/>
  <c r="L3324" i="12" s="1"/>
  <c r="L3325" i="12" s="1"/>
  <c r="L3326" i="12" s="1"/>
  <c r="L3327" i="12" s="1"/>
  <c r="L3328" i="12" s="1"/>
  <c r="L3329" i="12" s="1"/>
  <c r="L3330" i="12" s="1"/>
  <c r="L3331" i="12" s="1"/>
  <c r="L3332" i="12" s="1"/>
  <c r="L3333" i="12" s="1"/>
  <c r="L3334" i="12" s="1"/>
  <c r="L3335" i="12" s="1"/>
  <c r="L3336" i="12" s="1"/>
  <c r="L3337" i="12" s="1"/>
  <c r="L3338" i="12" s="1"/>
  <c r="L3339" i="12" s="1"/>
  <c r="L3340" i="12" s="1"/>
  <c r="L3341" i="12" s="1"/>
  <c r="L3342" i="12" s="1"/>
  <c r="L3343" i="12" s="1"/>
  <c r="L3344" i="12" s="1"/>
  <c r="L3345" i="12" s="1"/>
  <c r="L3346" i="12" s="1"/>
  <c r="L3347" i="12" s="1"/>
  <c r="L3348" i="12" s="1"/>
  <c r="L3349" i="12" s="1"/>
  <c r="L3350" i="12" s="1"/>
  <c r="L3351" i="12" s="1"/>
  <c r="L3352" i="12" s="1"/>
  <c r="L3353" i="12" s="1"/>
  <c r="L3354" i="12" s="1"/>
  <c r="L3355" i="12" s="1"/>
  <c r="L3356" i="12" s="1"/>
  <c r="L3357" i="12" s="1"/>
  <c r="L3358" i="12" s="1"/>
  <c r="L3359" i="12" s="1"/>
  <c r="L3360" i="12" s="1"/>
  <c r="L3361" i="12" s="1"/>
  <c r="L3362" i="12" s="1"/>
  <c r="L3363" i="12" s="1"/>
  <c r="L3364" i="12" s="1"/>
  <c r="L3365" i="12" s="1"/>
  <c r="L3366" i="12" s="1"/>
  <c r="L3367" i="12" s="1"/>
  <c r="L3368" i="12" s="1"/>
  <c r="L3369" i="12" s="1"/>
  <c r="L3370" i="12" s="1"/>
  <c r="L3371" i="12" s="1"/>
  <c r="L3372" i="12" s="1"/>
  <c r="L3373" i="12" s="1"/>
  <c r="L3374" i="12" s="1"/>
  <c r="L3375" i="12" s="1"/>
  <c r="L3376" i="12" s="1"/>
  <c r="L3377" i="12" s="1"/>
  <c r="L3378" i="12" s="1"/>
  <c r="L3379" i="12" s="1"/>
  <c r="L3380" i="12" s="1"/>
  <c r="L3381" i="12" s="1"/>
  <c r="L3382" i="12" s="1"/>
  <c r="L3383" i="12" s="1"/>
  <c r="L3384" i="12" s="1"/>
  <c r="L3385" i="12" s="1"/>
  <c r="L3386" i="12" s="1"/>
  <c r="L3387" i="12" s="1"/>
  <c r="L3388" i="12" s="1"/>
  <c r="L3389" i="12" s="1"/>
  <c r="L3390" i="12" s="1"/>
  <c r="L3391" i="12" s="1"/>
  <c r="L3392" i="12" s="1"/>
  <c r="L3393" i="12" s="1"/>
  <c r="L3394" i="12" s="1"/>
  <c r="L3395" i="12" s="1"/>
  <c r="L3396" i="12" s="1"/>
  <c r="L3397" i="12" s="1"/>
  <c r="L3398" i="12" s="1"/>
  <c r="L3399" i="12" s="1"/>
  <c r="L3400" i="12" s="1"/>
  <c r="L3401" i="12" s="1"/>
  <c r="L3402" i="12" s="1"/>
  <c r="L3403" i="12" s="1"/>
  <c r="L3404" i="12" s="1"/>
  <c r="L3405" i="12" s="1"/>
  <c r="L3406" i="12" s="1"/>
  <c r="L3407" i="12" s="1"/>
  <c r="L3408" i="12" s="1"/>
  <c r="L3409" i="12" s="1"/>
  <c r="L3410" i="12" s="1"/>
  <c r="L3411" i="12" s="1"/>
  <c r="L3412" i="12" s="1"/>
  <c r="L3413" i="12" s="1"/>
  <c r="L3414" i="12" s="1"/>
  <c r="L3415" i="12" s="1"/>
  <c r="L3416" i="12" s="1"/>
  <c r="L3417" i="12" s="1"/>
  <c r="L3418" i="12" s="1"/>
  <c r="L3419" i="12" s="1"/>
  <c r="L3420" i="12" s="1"/>
  <c r="L3421" i="12" s="1"/>
  <c r="L3422" i="12" s="1"/>
  <c r="L3423" i="12" s="1"/>
  <c r="L3424" i="12" s="1"/>
  <c r="L3425" i="12" s="1"/>
  <c r="L3426" i="12" s="1"/>
  <c r="L3427" i="12" s="1"/>
  <c r="L3428" i="12" s="1"/>
  <c r="L3429" i="12" s="1"/>
  <c r="L3430" i="12" s="1"/>
  <c r="L3431" i="12" s="1"/>
  <c r="L3432" i="12" s="1"/>
  <c r="L3433" i="12" s="1"/>
  <c r="L3434" i="12" s="1"/>
  <c r="L3435" i="12" s="1"/>
  <c r="L3436" i="12" s="1"/>
  <c r="L3437" i="12" s="1"/>
  <c r="L3438" i="12" s="1"/>
  <c r="L3439" i="12" s="1"/>
  <c r="L3440" i="12" s="1"/>
  <c r="L3441" i="12" s="1"/>
  <c r="L3442" i="12" s="1"/>
  <c r="L3443" i="12" s="1"/>
  <c r="L3444" i="12" s="1"/>
  <c r="L3445" i="12" s="1"/>
  <c r="L3446" i="12" s="1"/>
  <c r="L3447" i="12" s="1"/>
  <c r="L3448" i="12" s="1"/>
  <c r="L3449" i="12" s="1"/>
  <c r="L3450" i="12" s="1"/>
  <c r="L3451" i="12" s="1"/>
  <c r="L3452" i="12" s="1"/>
  <c r="L3453" i="12" s="1"/>
  <c r="L3454" i="12" s="1"/>
  <c r="L3455" i="12" s="1"/>
  <c r="L3456" i="12" s="1"/>
  <c r="L3457" i="12" s="1"/>
  <c r="L3458" i="12" s="1"/>
  <c r="L3459" i="12" s="1"/>
  <c r="L3460" i="12" s="1"/>
  <c r="L3461" i="12" s="1"/>
  <c r="L3462" i="12" s="1"/>
  <c r="L3463" i="12" s="1"/>
  <c r="L3464" i="12" s="1"/>
  <c r="L3465" i="12" s="1"/>
  <c r="L3466" i="12" s="1"/>
  <c r="L3467" i="12" s="1"/>
  <c r="L3468" i="12" s="1"/>
  <c r="L3469" i="12" s="1"/>
  <c r="L3470" i="12" s="1"/>
  <c r="L3471" i="12" s="1"/>
  <c r="L3472" i="12" s="1"/>
  <c r="L3473" i="12" s="1"/>
  <c r="L3474" i="12" s="1"/>
  <c r="L3475" i="12" s="1"/>
  <c r="L3476" i="12" s="1"/>
  <c r="L3477" i="12" s="1"/>
  <c r="L3478" i="12" s="1"/>
  <c r="L3479" i="12" s="1"/>
  <c r="L3480" i="12" s="1"/>
  <c r="L3481" i="12" s="1"/>
  <c r="L3482" i="12" s="1"/>
  <c r="L3483" i="12" s="1"/>
  <c r="L3484" i="12" s="1"/>
  <c r="L3485" i="12" s="1"/>
  <c r="L3486" i="12" s="1"/>
  <c r="L3487" i="12" s="1"/>
  <c r="L3488" i="12" s="1"/>
  <c r="L3489" i="12" s="1"/>
  <c r="L3490" i="12" s="1"/>
  <c r="L3491" i="12" s="1"/>
  <c r="L3492" i="12" s="1"/>
  <c r="L3493" i="12" s="1"/>
  <c r="L3494" i="12" s="1"/>
  <c r="L3495" i="12" s="1"/>
  <c r="L3496" i="12" s="1"/>
  <c r="L3497" i="12" s="1"/>
  <c r="L3498" i="12" s="1"/>
  <c r="L3499" i="12" s="1"/>
  <c r="L3500" i="12" s="1"/>
  <c r="L3501" i="12" s="1"/>
  <c r="L3502" i="12" s="1"/>
  <c r="L3503" i="12" s="1"/>
  <c r="L3504" i="12" s="1"/>
  <c r="L3505" i="12" s="1"/>
  <c r="L3506" i="12" s="1"/>
  <c r="L3507" i="12" s="1"/>
  <c r="L3508" i="12" s="1"/>
  <c r="L3509" i="12" s="1"/>
  <c r="L3510" i="12" s="1"/>
  <c r="L3511" i="12" s="1"/>
  <c r="L3512" i="12" s="1"/>
  <c r="L3513" i="12" s="1"/>
  <c r="L3514" i="12" s="1"/>
  <c r="L3515" i="12" s="1"/>
  <c r="L3516" i="12" s="1"/>
  <c r="L3517" i="12" s="1"/>
  <c r="L3518" i="12" s="1"/>
  <c r="L3519" i="12" s="1"/>
  <c r="L3520" i="12" s="1"/>
  <c r="L3521" i="12" s="1"/>
  <c r="L3522" i="12" s="1"/>
  <c r="L3523" i="12" s="1"/>
  <c r="L3524" i="12" s="1"/>
  <c r="L3525" i="12" s="1"/>
  <c r="L3526" i="12" s="1"/>
  <c r="L3527" i="12" s="1"/>
  <c r="L3528" i="12" s="1"/>
  <c r="L3529" i="12" s="1"/>
  <c r="L3530" i="12" s="1"/>
  <c r="L3531" i="12" s="1"/>
  <c r="L3532" i="12" s="1"/>
  <c r="L3533" i="12" s="1"/>
  <c r="L3534" i="12" s="1"/>
  <c r="L3535" i="12" s="1"/>
  <c r="L3536" i="12" s="1"/>
  <c r="L3537" i="12" s="1"/>
  <c r="L3538" i="12" s="1"/>
  <c r="L3539" i="12" s="1"/>
  <c r="L3540" i="12" s="1"/>
  <c r="L3541" i="12" s="1"/>
  <c r="L3542" i="12" s="1"/>
  <c r="L3543" i="12" s="1"/>
  <c r="L3544" i="12" s="1"/>
  <c r="L3545" i="12" s="1"/>
  <c r="L3546" i="12" s="1"/>
  <c r="L3547" i="12" s="1"/>
  <c r="L3548" i="12" s="1"/>
  <c r="L3549" i="12" s="1"/>
  <c r="L3550" i="12" s="1"/>
  <c r="L3551" i="12" s="1"/>
  <c r="L3552" i="12" s="1"/>
  <c r="L3553" i="12" s="1"/>
  <c r="L3554" i="12" s="1"/>
  <c r="L3555" i="12" s="1"/>
  <c r="L3556" i="12" s="1"/>
  <c r="L3557" i="12" s="1"/>
  <c r="L3558" i="12" s="1"/>
  <c r="L3559" i="12" s="1"/>
  <c r="L3560" i="12" s="1"/>
  <c r="L3561" i="12" s="1"/>
  <c r="L3562" i="12" s="1"/>
  <c r="L3563" i="12" s="1"/>
  <c r="L3564" i="12" s="1"/>
  <c r="L3565" i="12" s="1"/>
  <c r="L3566" i="12" s="1"/>
  <c r="L3567" i="12" s="1"/>
  <c r="L3568" i="12" s="1"/>
  <c r="L3569" i="12" s="1"/>
  <c r="L3570" i="12" s="1"/>
  <c r="L3571" i="12" s="1"/>
  <c r="L3572" i="12" s="1"/>
  <c r="L3573" i="12" s="1"/>
  <c r="L3574" i="12" s="1"/>
  <c r="L3575" i="12" s="1"/>
  <c r="L3576" i="12" s="1"/>
  <c r="L3577" i="12" s="1"/>
  <c r="L3578" i="12" s="1"/>
  <c r="L3579" i="12" s="1"/>
  <c r="L3580" i="12" s="1"/>
  <c r="L3581" i="12" s="1"/>
  <c r="L3582" i="12" s="1"/>
  <c r="L3583" i="12" s="1"/>
  <c r="L3584" i="12" s="1"/>
  <c r="L3585" i="12" s="1"/>
  <c r="L3586" i="12" s="1"/>
  <c r="L3587" i="12" s="1"/>
  <c r="L3588" i="12" s="1"/>
  <c r="L3589" i="12" s="1"/>
  <c r="L3590" i="12" s="1"/>
  <c r="L3591" i="12" s="1"/>
  <c r="L3592" i="12" s="1"/>
  <c r="L3593" i="12" s="1"/>
  <c r="L3594" i="12" s="1"/>
  <c r="L3595" i="12" s="1"/>
  <c r="L3596" i="12" s="1"/>
  <c r="L3597" i="12" s="1"/>
  <c r="L3598" i="12" s="1"/>
  <c r="L3599" i="12" s="1"/>
  <c r="L3600" i="12" s="1"/>
  <c r="L3601" i="12" s="1"/>
  <c r="L3602" i="12" s="1"/>
  <c r="L3603" i="12" s="1"/>
  <c r="L3604" i="12" s="1"/>
  <c r="L3605" i="12" s="1"/>
  <c r="L3606" i="12" s="1"/>
  <c r="L3607" i="12" s="1"/>
  <c r="L3608" i="12" s="1"/>
  <c r="L3609" i="12" s="1"/>
  <c r="L3610" i="12" s="1"/>
  <c r="L3611" i="12" s="1"/>
  <c r="L3612" i="12" s="1"/>
  <c r="L3613" i="12" s="1"/>
  <c r="L3614" i="12" s="1"/>
  <c r="L3615" i="12" s="1"/>
  <c r="L3616" i="12" s="1"/>
  <c r="L3617" i="12" s="1"/>
  <c r="L3618" i="12" s="1"/>
  <c r="L3619" i="12" s="1"/>
  <c r="L3620" i="12" s="1"/>
  <c r="L3621" i="12" s="1"/>
  <c r="L3622" i="12" s="1"/>
  <c r="L3623" i="12" s="1"/>
  <c r="L3624" i="12" s="1"/>
  <c r="L3625" i="12" s="1"/>
  <c r="L3626" i="12" s="1"/>
  <c r="L3627" i="12" s="1"/>
  <c r="L3628" i="12" s="1"/>
  <c r="L3629" i="12" s="1"/>
  <c r="L3630" i="12" s="1"/>
  <c r="L3631" i="12" s="1"/>
  <c r="L3632" i="12" s="1"/>
  <c r="L3633" i="12" s="1"/>
  <c r="L3634" i="12" s="1"/>
  <c r="L3635" i="12" s="1"/>
  <c r="L3636" i="12" s="1"/>
  <c r="L3637" i="12" s="1"/>
  <c r="L3638" i="12" s="1"/>
  <c r="L3639" i="12" s="1"/>
  <c r="L3640" i="12" s="1"/>
  <c r="L3641" i="12" s="1"/>
  <c r="L3642" i="12" s="1"/>
  <c r="L3643" i="12" s="1"/>
  <c r="L3644" i="12" s="1"/>
  <c r="L3645" i="12" s="1"/>
  <c r="L3646" i="12" s="1"/>
  <c r="L3647" i="12" s="1"/>
  <c r="L3648" i="12" s="1"/>
  <c r="L3649" i="12" s="1"/>
  <c r="L3650" i="12" s="1"/>
  <c r="L3651" i="12" s="1"/>
  <c r="L3652" i="12" s="1"/>
  <c r="L3653" i="12" s="1"/>
  <c r="L3654" i="12" s="1"/>
  <c r="L3655" i="12" s="1"/>
  <c r="L3656" i="12" s="1"/>
  <c r="L3657" i="12" s="1"/>
  <c r="L3658" i="12" s="1"/>
  <c r="L3659" i="12" s="1"/>
  <c r="L3660" i="12" s="1"/>
  <c r="L3661" i="12" s="1"/>
  <c r="L3662" i="12" s="1"/>
  <c r="L3663" i="12" s="1"/>
  <c r="L3664" i="12" s="1"/>
  <c r="L3665" i="12" s="1"/>
  <c r="L3666" i="12" s="1"/>
  <c r="L3667" i="12" s="1"/>
  <c r="L3668" i="12" s="1"/>
  <c r="L3669" i="12" s="1"/>
  <c r="L3670" i="12" s="1"/>
  <c r="L3671" i="12" s="1"/>
  <c r="L3672" i="12" s="1"/>
  <c r="L3673" i="12" s="1"/>
  <c r="L3674" i="12" s="1"/>
  <c r="L3675" i="12" s="1"/>
  <c r="L3676" i="12" s="1"/>
  <c r="L3677" i="12" s="1"/>
  <c r="L3678" i="12" s="1"/>
  <c r="L3679" i="12" s="1"/>
  <c r="L3680" i="12" s="1"/>
  <c r="L3681" i="12" s="1"/>
  <c r="L3682" i="12" s="1"/>
  <c r="L3683" i="12" s="1"/>
  <c r="L3684" i="12" s="1"/>
  <c r="L3685" i="12" s="1"/>
  <c r="L3686" i="12" s="1"/>
  <c r="L3687" i="12" s="1"/>
  <c r="L3688" i="12" s="1"/>
  <c r="L3689" i="12" s="1"/>
  <c r="L3690" i="12" s="1"/>
  <c r="L3691" i="12" s="1"/>
  <c r="L3692" i="12" s="1"/>
  <c r="L3693" i="12" s="1"/>
  <c r="L3694" i="12" s="1"/>
  <c r="L3695" i="12" s="1"/>
  <c r="L3696" i="12" s="1"/>
  <c r="L3697" i="12" s="1"/>
  <c r="L3698" i="12" s="1"/>
  <c r="L3699" i="12" s="1"/>
  <c r="L3700" i="12" s="1"/>
  <c r="L3701" i="12" s="1"/>
  <c r="L3702" i="12" s="1"/>
  <c r="L3703" i="12" s="1"/>
  <c r="L3704" i="12" s="1"/>
  <c r="L3705" i="12" s="1"/>
  <c r="L3706" i="12" s="1"/>
  <c r="L3707" i="12" s="1"/>
  <c r="L3708" i="12" s="1"/>
  <c r="L3709" i="12" s="1"/>
  <c r="L3710" i="12" s="1"/>
  <c r="L3711" i="12" s="1"/>
  <c r="L3712" i="12" s="1"/>
  <c r="L3713" i="12" s="1"/>
  <c r="L3714" i="12" s="1"/>
  <c r="L3715" i="12" s="1"/>
  <c r="L3716" i="12" s="1"/>
  <c r="L3717" i="12" s="1"/>
  <c r="L3718" i="12" s="1"/>
  <c r="L3719" i="12" s="1"/>
  <c r="L3720" i="12" s="1"/>
  <c r="L3721" i="12" s="1"/>
  <c r="L3722" i="12" s="1"/>
  <c r="L3723" i="12" s="1"/>
  <c r="L3724" i="12" s="1"/>
  <c r="L3725" i="12" s="1"/>
  <c r="L3726" i="12" s="1"/>
  <c r="L3727" i="12" s="1"/>
  <c r="L3728" i="12" s="1"/>
  <c r="L3729" i="12" s="1"/>
  <c r="L3730" i="12" s="1"/>
  <c r="L3731" i="12" s="1"/>
  <c r="L3732" i="12" s="1"/>
  <c r="L3733" i="12" s="1"/>
  <c r="L3734" i="12" s="1"/>
  <c r="L3735" i="12" s="1"/>
  <c r="L3736" i="12" s="1"/>
  <c r="L3737" i="12" s="1"/>
  <c r="L3738" i="12" s="1"/>
  <c r="L3739" i="12" s="1"/>
  <c r="L3740" i="12" s="1"/>
  <c r="L3741" i="12" s="1"/>
  <c r="L3742" i="12" s="1"/>
  <c r="L3743" i="12" s="1"/>
  <c r="L3744" i="12" s="1"/>
  <c r="L3745" i="12" s="1"/>
  <c r="L3746" i="12" s="1"/>
  <c r="L3747" i="12" s="1"/>
  <c r="L3748" i="12" s="1"/>
  <c r="L3749" i="12" s="1"/>
  <c r="L3750" i="12" s="1"/>
  <c r="L3751" i="12" s="1"/>
  <c r="L3752" i="12" s="1"/>
  <c r="L3753" i="12" s="1"/>
  <c r="L3754" i="12" s="1"/>
  <c r="L3755" i="12" s="1"/>
  <c r="L3756" i="12" s="1"/>
  <c r="L3757" i="12" s="1"/>
  <c r="L3758" i="12" s="1"/>
  <c r="L3759" i="12" s="1"/>
  <c r="L3760" i="12" s="1"/>
  <c r="L3761" i="12" s="1"/>
  <c r="L3762" i="12" s="1"/>
  <c r="L3763" i="12" s="1"/>
  <c r="L3764" i="12" s="1"/>
  <c r="L3765" i="12" s="1"/>
  <c r="L3766" i="12" s="1"/>
  <c r="L3767" i="12" s="1"/>
  <c r="L3768" i="12" s="1"/>
  <c r="L3769" i="12" s="1"/>
  <c r="L3770" i="12" s="1"/>
  <c r="L3771" i="12" s="1"/>
  <c r="L3772" i="12" s="1"/>
  <c r="L3773" i="12" s="1"/>
  <c r="L3774" i="12" s="1"/>
  <c r="L3775" i="12" s="1"/>
  <c r="L3776" i="12" s="1"/>
  <c r="L3777" i="12" s="1"/>
  <c r="L3778" i="12" s="1"/>
  <c r="L3779" i="12" s="1"/>
  <c r="L3780" i="12" s="1"/>
  <c r="L3781" i="12" s="1"/>
  <c r="L3782" i="12" s="1"/>
  <c r="L3783" i="12" s="1"/>
  <c r="L3784" i="12" s="1"/>
  <c r="L3785" i="12" s="1"/>
  <c r="L3786" i="12" s="1"/>
  <c r="L3787" i="12" s="1"/>
  <c r="L3788" i="12" s="1"/>
  <c r="L3789" i="12" s="1"/>
  <c r="L3790" i="12" s="1"/>
  <c r="L3791" i="12" s="1"/>
  <c r="L3792" i="12" s="1"/>
  <c r="L3793" i="12" s="1"/>
  <c r="L3794" i="12" s="1"/>
  <c r="L3795" i="12" s="1"/>
  <c r="L3796" i="12" s="1"/>
  <c r="L3797" i="12" s="1"/>
  <c r="L3798" i="12" s="1"/>
  <c r="L3799" i="12" s="1"/>
  <c r="L3800" i="12" s="1"/>
  <c r="L3801" i="12" s="1"/>
  <c r="L3802" i="12" s="1"/>
  <c r="L3803" i="12" s="1"/>
  <c r="L3804" i="12" s="1"/>
  <c r="L3805" i="12" s="1"/>
  <c r="L3806" i="12" s="1"/>
  <c r="L3807" i="12" s="1"/>
  <c r="L3808" i="12" s="1"/>
  <c r="L3809" i="12" s="1"/>
  <c r="L3810" i="12" s="1"/>
  <c r="L3811" i="12" s="1"/>
  <c r="L3812" i="12" s="1"/>
  <c r="L3813" i="12" s="1"/>
  <c r="L3814" i="12" s="1"/>
  <c r="L3815" i="12" s="1"/>
  <c r="L3816" i="12" s="1"/>
  <c r="L3817" i="12" s="1"/>
  <c r="L3818" i="12" s="1"/>
  <c r="L3819" i="12" s="1"/>
  <c r="L3820" i="12" s="1"/>
  <c r="L3821" i="12" s="1"/>
  <c r="L3822" i="12" s="1"/>
  <c r="L3823" i="12" s="1"/>
  <c r="L3824" i="12" s="1"/>
  <c r="L3825" i="12" s="1"/>
  <c r="L3826" i="12" s="1"/>
  <c r="L3827" i="12" s="1"/>
  <c r="L3828" i="12" s="1"/>
  <c r="L3829" i="12" s="1"/>
  <c r="L3830" i="12" s="1"/>
  <c r="L3831" i="12" s="1"/>
  <c r="L3832" i="12" s="1"/>
  <c r="L3833" i="12" s="1"/>
  <c r="L3834" i="12" s="1"/>
  <c r="L3835" i="12" s="1"/>
  <c r="L3836" i="12" s="1"/>
  <c r="L3837" i="12" s="1"/>
  <c r="L3838" i="12" s="1"/>
  <c r="L3839" i="12" s="1"/>
  <c r="L3840" i="12" s="1"/>
  <c r="L3841" i="12" s="1"/>
  <c r="L3842" i="12" s="1"/>
  <c r="L3843" i="12" s="1"/>
  <c r="L3844" i="12" s="1"/>
  <c r="L3845" i="12" s="1"/>
  <c r="L3846" i="12" s="1"/>
  <c r="L3847" i="12" s="1"/>
  <c r="L3848" i="12" s="1"/>
  <c r="L3849" i="12" s="1"/>
  <c r="L3850" i="12" s="1"/>
  <c r="L3851" i="12" s="1"/>
  <c r="L3852" i="12" s="1"/>
  <c r="L3853" i="12" s="1"/>
  <c r="L3854" i="12" s="1"/>
  <c r="L3855" i="12" s="1"/>
  <c r="L3856" i="12" s="1"/>
  <c r="L3857" i="12" s="1"/>
  <c r="L3858" i="12" s="1"/>
  <c r="L3859" i="12" s="1"/>
  <c r="L3860" i="12" s="1"/>
  <c r="L3861" i="12" s="1"/>
  <c r="L3862" i="12" s="1"/>
  <c r="L3863" i="12" s="1"/>
  <c r="L3864" i="12" s="1"/>
  <c r="L3865" i="12" s="1"/>
  <c r="L3866" i="12" s="1"/>
  <c r="L3867" i="12" s="1"/>
  <c r="L3868" i="12" s="1"/>
  <c r="L3869" i="12" s="1"/>
  <c r="L3870" i="12" s="1"/>
  <c r="L3871" i="12" s="1"/>
  <c r="L3872" i="12" s="1"/>
  <c r="L3873" i="12" s="1"/>
  <c r="L3874" i="12" s="1"/>
  <c r="L3875" i="12" s="1"/>
  <c r="L3876" i="12" s="1"/>
  <c r="L3877" i="12" s="1"/>
  <c r="L3878" i="12" s="1"/>
  <c r="L3879" i="12" s="1"/>
  <c r="L3880" i="12" s="1"/>
  <c r="L3881" i="12" s="1"/>
  <c r="L3882" i="12" s="1"/>
  <c r="L3883" i="12" s="1"/>
  <c r="L3884" i="12" s="1"/>
  <c r="L3885" i="12" s="1"/>
  <c r="L3886" i="12" s="1"/>
  <c r="L3887" i="12" s="1"/>
  <c r="L3888" i="12" s="1"/>
  <c r="L3889" i="12" s="1"/>
  <c r="L3890" i="12" s="1"/>
  <c r="L3891" i="12" s="1"/>
  <c r="L3892" i="12" s="1"/>
  <c r="L3893" i="12" s="1"/>
  <c r="L3894" i="12" s="1"/>
  <c r="L3895" i="12" s="1"/>
  <c r="L3896" i="12" s="1"/>
  <c r="L3897" i="12" s="1"/>
  <c r="L3898" i="12" s="1"/>
  <c r="L3899" i="12" s="1"/>
  <c r="L3900" i="12" s="1"/>
  <c r="L3901" i="12" s="1"/>
  <c r="L3902" i="12" s="1"/>
  <c r="L3903" i="12" s="1"/>
  <c r="L3904" i="12" s="1"/>
  <c r="L3905" i="12" s="1"/>
  <c r="L3906" i="12" s="1"/>
  <c r="L3907" i="12" s="1"/>
  <c r="L3908" i="12" s="1"/>
  <c r="L3909" i="12" s="1"/>
  <c r="L3910" i="12" s="1"/>
  <c r="L3911" i="12" s="1"/>
  <c r="L3912" i="12" s="1"/>
  <c r="L3913" i="12" s="1"/>
  <c r="L3914" i="12" s="1"/>
  <c r="L3915" i="12" s="1"/>
  <c r="L3916" i="12" s="1"/>
  <c r="L3917" i="12" s="1"/>
  <c r="L3918" i="12" s="1"/>
  <c r="L3919" i="12" s="1"/>
  <c r="L3920" i="12" s="1"/>
  <c r="L3921" i="12" s="1"/>
  <c r="L3922" i="12" s="1"/>
  <c r="L3923" i="12" s="1"/>
  <c r="L3924" i="12" s="1"/>
  <c r="L3925" i="12" s="1"/>
  <c r="L3926" i="12" s="1"/>
  <c r="L3927" i="12" s="1"/>
  <c r="L3928" i="12" s="1"/>
  <c r="L3929" i="12" s="1"/>
  <c r="L3930" i="12" s="1"/>
  <c r="L3931" i="12" s="1"/>
  <c r="L3932" i="12" s="1"/>
  <c r="L3933" i="12" s="1"/>
  <c r="L3934" i="12" s="1"/>
  <c r="L3935" i="12" s="1"/>
  <c r="L3936" i="12" s="1"/>
  <c r="L3937" i="12" s="1"/>
  <c r="L3938" i="12" s="1"/>
  <c r="L3939" i="12" s="1"/>
  <c r="L3940" i="12" s="1"/>
  <c r="L3941" i="12" s="1"/>
  <c r="L3942" i="12" s="1"/>
  <c r="L3943" i="12" s="1"/>
  <c r="L3944" i="12" s="1"/>
  <c r="L3945" i="12" s="1"/>
  <c r="L3946" i="12" s="1"/>
  <c r="L3947" i="12" s="1"/>
  <c r="L3948" i="12" s="1"/>
  <c r="L3949" i="12" s="1"/>
  <c r="L3950" i="12" s="1"/>
  <c r="L3951" i="12" s="1"/>
  <c r="L3952" i="12" s="1"/>
  <c r="L3953" i="12" s="1"/>
  <c r="L3954" i="12" s="1"/>
  <c r="L3955" i="12" s="1"/>
  <c r="L3956" i="12" s="1"/>
  <c r="L3957" i="12" s="1"/>
  <c r="L3958" i="12" s="1"/>
  <c r="L3959" i="12" s="1"/>
  <c r="L3960" i="12" s="1"/>
  <c r="L3961" i="12" s="1"/>
  <c r="L3962" i="12" s="1"/>
  <c r="L3963" i="12" s="1"/>
  <c r="L3964" i="12" s="1"/>
  <c r="L3965" i="12" s="1"/>
  <c r="L3966" i="12" s="1"/>
  <c r="L3967" i="12" s="1"/>
  <c r="L3968" i="12" s="1"/>
  <c r="L3969" i="12" s="1"/>
  <c r="L3970" i="12" s="1"/>
  <c r="L3971" i="12" s="1"/>
  <c r="L3972" i="12" s="1"/>
  <c r="L3973" i="12" s="1"/>
  <c r="L3974" i="12" s="1"/>
  <c r="L3975" i="12" s="1"/>
  <c r="L3976" i="12" s="1"/>
  <c r="L3977" i="12" s="1"/>
  <c r="L3978" i="12" s="1"/>
  <c r="L3979" i="12" s="1"/>
  <c r="L3980" i="12" s="1"/>
  <c r="L3981" i="12" s="1"/>
  <c r="L3982" i="12" s="1"/>
  <c r="L3983" i="12" s="1"/>
  <c r="L3984" i="12" s="1"/>
  <c r="L3985" i="12" s="1"/>
  <c r="L3986" i="12" s="1"/>
  <c r="L3987" i="12" s="1"/>
  <c r="L3988" i="12" s="1"/>
  <c r="L3989" i="12" s="1"/>
  <c r="L3990" i="12" s="1"/>
  <c r="L3991" i="12" s="1"/>
  <c r="L3992" i="12" s="1"/>
  <c r="L3993" i="12" s="1"/>
  <c r="L3994" i="12" s="1"/>
  <c r="L3995" i="12" s="1"/>
  <c r="L3996" i="12" s="1"/>
  <c r="L3997" i="12" s="1"/>
  <c r="L3998" i="12" s="1"/>
  <c r="L3999" i="12" s="1"/>
  <c r="L4000" i="12" s="1"/>
  <c r="L4001" i="12" s="1"/>
  <c r="L4002" i="12" s="1"/>
  <c r="L4003" i="12" s="1"/>
  <c r="L4004" i="12" s="1"/>
  <c r="L4005" i="12" s="1"/>
  <c r="L4006" i="12" s="1"/>
  <c r="L4007" i="12" s="1"/>
  <c r="L4008" i="12" s="1"/>
  <c r="L4009" i="12" s="1"/>
  <c r="L4010" i="12" s="1"/>
  <c r="L4011" i="12" s="1"/>
  <c r="L4012" i="12" s="1"/>
  <c r="L4013" i="12" s="1"/>
  <c r="L4014" i="12" s="1"/>
  <c r="L4015" i="12" s="1"/>
  <c r="L4016" i="12" s="1"/>
  <c r="L4017" i="12" s="1"/>
  <c r="L4018" i="12" s="1"/>
  <c r="L4019" i="12" s="1"/>
  <c r="L4020" i="12" s="1"/>
  <c r="L4021" i="12" s="1"/>
  <c r="L4022" i="12" s="1"/>
  <c r="L4023" i="12" s="1"/>
  <c r="L4024" i="12" s="1"/>
  <c r="L4025" i="12" s="1"/>
  <c r="L4026" i="12" s="1"/>
  <c r="L4027" i="12" s="1"/>
  <c r="L4028" i="12" s="1"/>
  <c r="L4029" i="12" s="1"/>
  <c r="L4030" i="12" s="1"/>
  <c r="L4031" i="12" s="1"/>
  <c r="L4032" i="12" s="1"/>
  <c r="L4033" i="12" s="1"/>
  <c r="L4034" i="12" s="1"/>
  <c r="L4035" i="12" s="1"/>
  <c r="L4036" i="12" s="1"/>
  <c r="L4037" i="12" s="1"/>
  <c r="L4038" i="12" s="1"/>
  <c r="L4039" i="12" s="1"/>
  <c r="L4040" i="12" s="1"/>
  <c r="L4041" i="12" s="1"/>
  <c r="L4042" i="12" s="1"/>
  <c r="L4043" i="12" s="1"/>
  <c r="L4044" i="12" s="1"/>
  <c r="L4045" i="12" s="1"/>
  <c r="L4046" i="12" s="1"/>
  <c r="L4047" i="12" s="1"/>
  <c r="L4048" i="12" s="1"/>
  <c r="L4049" i="12" s="1"/>
  <c r="L4050" i="12" s="1"/>
  <c r="L4051" i="12" s="1"/>
  <c r="L4052" i="12" s="1"/>
  <c r="L4053" i="12" s="1"/>
  <c r="L4054" i="12" s="1"/>
  <c r="L4055" i="12" s="1"/>
  <c r="L4056" i="12" s="1"/>
  <c r="L4057" i="12" s="1"/>
  <c r="L4058" i="12" s="1"/>
  <c r="L4059" i="12" s="1"/>
  <c r="L4060" i="12" s="1"/>
  <c r="L4061" i="12" s="1"/>
  <c r="L4062" i="12" s="1"/>
  <c r="L4063" i="12" s="1"/>
  <c r="L4064" i="12" s="1"/>
  <c r="L4065" i="12" s="1"/>
  <c r="L4066" i="12" s="1"/>
  <c r="L4067" i="12" s="1"/>
  <c r="L4068" i="12" s="1"/>
  <c r="L4069" i="12" s="1"/>
  <c r="L4070" i="12" s="1"/>
  <c r="L4071" i="12" s="1"/>
  <c r="L4072" i="12" s="1"/>
  <c r="L4073" i="12" s="1"/>
  <c r="L4074" i="12" s="1"/>
  <c r="L4075" i="12" s="1"/>
  <c r="L4076" i="12" s="1"/>
  <c r="L4077" i="12" s="1"/>
  <c r="L4078" i="12" s="1"/>
  <c r="L4079" i="12" s="1"/>
  <c r="L4080" i="12" s="1"/>
  <c r="L4081" i="12" s="1"/>
  <c r="L4082" i="12" s="1"/>
  <c r="L4083" i="12" s="1"/>
  <c r="L4084" i="12" s="1"/>
  <c r="L4085" i="12" s="1"/>
  <c r="L4086" i="12" s="1"/>
  <c r="L4087" i="12" s="1"/>
  <c r="L4088" i="12" s="1"/>
  <c r="L4089" i="12" s="1"/>
  <c r="L4090" i="12" s="1"/>
  <c r="L4091" i="12" s="1"/>
  <c r="L4092" i="12" s="1"/>
  <c r="L4093" i="12" s="1"/>
  <c r="L4094" i="12" s="1"/>
  <c r="L4095" i="12" s="1"/>
  <c r="L4096" i="12" s="1"/>
  <c r="L4097" i="12" s="1"/>
  <c r="L4098" i="12" s="1"/>
  <c r="L4099" i="12" s="1"/>
  <c r="L4100" i="12" s="1"/>
  <c r="L4101" i="12" s="1"/>
  <c r="L4102" i="12" s="1"/>
  <c r="L4103" i="12" s="1"/>
  <c r="L4104" i="12" s="1"/>
  <c r="L4105" i="12" s="1"/>
  <c r="L4106" i="12" s="1"/>
  <c r="L4107" i="12" s="1"/>
  <c r="L4108" i="12" s="1"/>
  <c r="L4109" i="12" s="1"/>
  <c r="L4110" i="12" s="1"/>
  <c r="L4111" i="12" s="1"/>
  <c r="L4112" i="12" s="1"/>
  <c r="L4113" i="12" s="1"/>
  <c r="L4114" i="12" s="1"/>
  <c r="L4115" i="12" s="1"/>
  <c r="L4116" i="12" s="1"/>
  <c r="L4117" i="12" s="1"/>
  <c r="L4118" i="12" s="1"/>
  <c r="L4119" i="12" s="1"/>
  <c r="L4120" i="12" s="1"/>
  <c r="L4121" i="12" s="1"/>
  <c r="L4122" i="12" s="1"/>
  <c r="L4123" i="12" s="1"/>
  <c r="L4124" i="12" s="1"/>
  <c r="L4125" i="12" s="1"/>
  <c r="L4126" i="12" s="1"/>
  <c r="L4127" i="12" s="1"/>
  <c r="L4128" i="12" s="1"/>
  <c r="L4129" i="12" s="1"/>
  <c r="L4130" i="12" s="1"/>
  <c r="L4131" i="12" s="1"/>
  <c r="L4132" i="12" s="1"/>
  <c r="L4133" i="12" s="1"/>
  <c r="L4134" i="12" s="1"/>
  <c r="L4135" i="12" s="1"/>
  <c r="L4136" i="12" s="1"/>
  <c r="L4137" i="12" s="1"/>
  <c r="L4138" i="12" s="1"/>
  <c r="L4139" i="12" s="1"/>
  <c r="L4140" i="12" s="1"/>
  <c r="L4141" i="12" s="1"/>
  <c r="L4142" i="12" s="1"/>
  <c r="L4143" i="12" s="1"/>
  <c r="L4144" i="12" s="1"/>
  <c r="L4145" i="12" s="1"/>
  <c r="L4146" i="12" s="1"/>
  <c r="L4147" i="12" s="1"/>
  <c r="L4148" i="12" s="1"/>
  <c r="L4149" i="12" s="1"/>
  <c r="L4150" i="12" s="1"/>
  <c r="L4151" i="12" s="1"/>
  <c r="L4152" i="12" s="1"/>
  <c r="L4153" i="12" s="1"/>
  <c r="L4154" i="12" s="1"/>
  <c r="L4155" i="12" s="1"/>
  <c r="L4156" i="12" s="1"/>
  <c r="L4157" i="12" s="1"/>
  <c r="L4158" i="12" s="1"/>
  <c r="L4159" i="12" s="1"/>
  <c r="L4160" i="12" s="1"/>
  <c r="L4161" i="12" s="1"/>
  <c r="L4162" i="12" s="1"/>
  <c r="L4163" i="12" s="1"/>
  <c r="L4164" i="12" s="1"/>
  <c r="L4165" i="12" s="1"/>
  <c r="L4166" i="12" s="1"/>
  <c r="L4167" i="12" s="1"/>
  <c r="L4168" i="12" s="1"/>
  <c r="L4169" i="12" s="1"/>
  <c r="L4170" i="12" s="1"/>
  <c r="L4171" i="12" s="1"/>
  <c r="L4172" i="12" s="1"/>
  <c r="L4173" i="12" s="1"/>
  <c r="L4174" i="12" s="1"/>
  <c r="L4175" i="12" s="1"/>
  <c r="L4176" i="12" s="1"/>
  <c r="L4177" i="12" s="1"/>
  <c r="L4178" i="12" s="1"/>
  <c r="L4179" i="12" s="1"/>
  <c r="L4180" i="12" s="1"/>
  <c r="L4181" i="12" s="1"/>
  <c r="L4182" i="12" s="1"/>
  <c r="L4183" i="12" s="1"/>
  <c r="L4184" i="12" s="1"/>
  <c r="L4185" i="12" s="1"/>
  <c r="L4186" i="12" s="1"/>
  <c r="L4187" i="12" s="1"/>
  <c r="L4188" i="12" s="1"/>
  <c r="L4189" i="12" s="1"/>
  <c r="L4190" i="12" s="1"/>
  <c r="L4191" i="12" s="1"/>
  <c r="L4192" i="12" s="1"/>
  <c r="L4193" i="12" s="1"/>
  <c r="L4194" i="12" s="1"/>
  <c r="L4195" i="12" s="1"/>
  <c r="L4196" i="12" s="1"/>
  <c r="L4197" i="12" s="1"/>
  <c r="L4198" i="12" s="1"/>
  <c r="L4199" i="12" s="1"/>
  <c r="L4200" i="12" s="1"/>
  <c r="L4201" i="12" s="1"/>
  <c r="L4202" i="12" s="1"/>
  <c r="L4203" i="12" s="1"/>
  <c r="L4204" i="12" s="1"/>
  <c r="L4205" i="12" s="1"/>
  <c r="L4206" i="12" s="1"/>
  <c r="L4207" i="12" s="1"/>
  <c r="L4208" i="12" s="1"/>
  <c r="L4209" i="12" s="1"/>
  <c r="L4210" i="12" s="1"/>
  <c r="L4211" i="12" s="1"/>
  <c r="L4212" i="12" s="1"/>
  <c r="L4213" i="12" s="1"/>
  <c r="L4214" i="12" s="1"/>
  <c r="L4215" i="12" s="1"/>
  <c r="L4216" i="12" s="1"/>
  <c r="L4217" i="12" s="1"/>
  <c r="L4218" i="12" s="1"/>
  <c r="L4219" i="12" s="1"/>
  <c r="L4220" i="12" s="1"/>
  <c r="L4221" i="12" s="1"/>
  <c r="L4222" i="12" s="1"/>
  <c r="L4223" i="12" s="1"/>
  <c r="L4224" i="12" s="1"/>
  <c r="L4225" i="12" s="1"/>
  <c r="L4226" i="12" s="1"/>
  <c r="L4227" i="12" s="1"/>
  <c r="L4228" i="12" s="1"/>
  <c r="L4229" i="12" s="1"/>
  <c r="L4230" i="12" s="1"/>
  <c r="L4231" i="12" s="1"/>
  <c r="L4232" i="12" s="1"/>
  <c r="L4233" i="12" s="1"/>
  <c r="L4234" i="12" s="1"/>
  <c r="L4235" i="12" s="1"/>
  <c r="L4236" i="12" s="1"/>
  <c r="L4237" i="12" s="1"/>
  <c r="L4238" i="12" s="1"/>
  <c r="L4239" i="12" s="1"/>
  <c r="L4240" i="12" s="1"/>
  <c r="L4241" i="12" s="1"/>
  <c r="L4242" i="12" s="1"/>
  <c r="L4243" i="12" s="1"/>
  <c r="L4244" i="12" s="1"/>
  <c r="L4245" i="12" s="1"/>
  <c r="L4246" i="12" s="1"/>
  <c r="L4247" i="12" s="1"/>
  <c r="L4248" i="12" s="1"/>
  <c r="L4249" i="12" s="1"/>
  <c r="L4250" i="12" s="1"/>
  <c r="L4251" i="12" s="1"/>
  <c r="L4252" i="12" s="1"/>
  <c r="L4253" i="12" s="1"/>
  <c r="L4254" i="12" s="1"/>
  <c r="L4255" i="12" s="1"/>
  <c r="L4256" i="12" s="1"/>
  <c r="L4257" i="12" s="1"/>
  <c r="L4258" i="12" s="1"/>
  <c r="L4259" i="12" s="1"/>
  <c r="L4260" i="12" s="1"/>
  <c r="L4261" i="12" s="1"/>
  <c r="L4262" i="12" s="1"/>
  <c r="L4263" i="12" s="1"/>
  <c r="L4264" i="12" s="1"/>
  <c r="L4265" i="12" s="1"/>
  <c r="L4266" i="12" s="1"/>
  <c r="L4267" i="12" s="1"/>
  <c r="L4268" i="12" s="1"/>
  <c r="L4269" i="12" s="1"/>
  <c r="L4270" i="12" s="1"/>
  <c r="L4271" i="12" s="1"/>
  <c r="L4272" i="12" s="1"/>
  <c r="L4273" i="12" s="1"/>
  <c r="L4274" i="12" s="1"/>
  <c r="L4275" i="12" s="1"/>
  <c r="L4276" i="12" s="1"/>
  <c r="L4277" i="12" s="1"/>
  <c r="L4278" i="12" s="1"/>
  <c r="L4279" i="12" s="1"/>
  <c r="L4280" i="12" s="1"/>
  <c r="L4281" i="12" s="1"/>
  <c r="L4282" i="12" s="1"/>
  <c r="L4283" i="12" s="1"/>
  <c r="L4284" i="12" s="1"/>
  <c r="L4285" i="12" s="1"/>
  <c r="L4286" i="12" s="1"/>
  <c r="L4287" i="12" s="1"/>
  <c r="L4288" i="12" s="1"/>
  <c r="L4289" i="12" s="1"/>
  <c r="L4290" i="12" s="1"/>
  <c r="L4291" i="12" s="1"/>
  <c r="L4292" i="12" s="1"/>
  <c r="L4293" i="12" s="1"/>
  <c r="L4294" i="12" s="1"/>
  <c r="L4295" i="12" s="1"/>
  <c r="L4296" i="12" s="1"/>
  <c r="L4297" i="12" s="1"/>
  <c r="L4298" i="12" s="1"/>
  <c r="L4299" i="12" s="1"/>
  <c r="L4300" i="12" s="1"/>
  <c r="L4301" i="12" s="1"/>
  <c r="L4302" i="12" s="1"/>
  <c r="L4303" i="12" s="1"/>
  <c r="L4304" i="12" s="1"/>
  <c r="L4305" i="12" s="1"/>
  <c r="L4306" i="12" s="1"/>
  <c r="L4307" i="12" s="1"/>
  <c r="L4308" i="12" s="1"/>
  <c r="L4309" i="12" s="1"/>
  <c r="L4310" i="12" s="1"/>
  <c r="L4311" i="12" s="1"/>
  <c r="L4312" i="12" s="1"/>
  <c r="L4313" i="12" s="1"/>
  <c r="L4314" i="12" s="1"/>
  <c r="L4315" i="12" s="1"/>
  <c r="L4316" i="12" s="1"/>
  <c r="L4317" i="12" s="1"/>
  <c r="L4318" i="12" s="1"/>
  <c r="L4319" i="12" s="1"/>
  <c r="L4320" i="12" s="1"/>
  <c r="L4321" i="12" s="1"/>
  <c r="L4322" i="12" s="1"/>
  <c r="L4323" i="12" s="1"/>
  <c r="L4324" i="12" s="1"/>
  <c r="L4325" i="12" s="1"/>
  <c r="L4326" i="12" s="1"/>
  <c r="L4327" i="12" s="1"/>
  <c r="L4328" i="12" s="1"/>
  <c r="L4329" i="12" s="1"/>
  <c r="L4330" i="12" s="1"/>
  <c r="L4331" i="12" s="1"/>
  <c r="L4332" i="12" s="1"/>
  <c r="L4333" i="12" s="1"/>
  <c r="L4334" i="12" s="1"/>
  <c r="L4335" i="12" s="1"/>
  <c r="L4336" i="12" s="1"/>
  <c r="L4337" i="12" s="1"/>
  <c r="L4338" i="12" s="1"/>
  <c r="L4339" i="12" s="1"/>
  <c r="L4340" i="12" s="1"/>
  <c r="L4341" i="12" s="1"/>
  <c r="L4342" i="12" s="1"/>
  <c r="L4343" i="12" s="1"/>
  <c r="L4344" i="12" s="1"/>
  <c r="L4345" i="12" s="1"/>
  <c r="L4346" i="12" s="1"/>
  <c r="L4347" i="12" s="1"/>
  <c r="L4348" i="12" s="1"/>
  <c r="L4349" i="12" s="1"/>
  <c r="L4350" i="12" s="1"/>
  <c r="L4351" i="12" s="1"/>
  <c r="L4352" i="12" s="1"/>
  <c r="L4353" i="12" s="1"/>
  <c r="L4354" i="12" s="1"/>
  <c r="L4355" i="12" s="1"/>
  <c r="L4356" i="12" s="1"/>
  <c r="L4357" i="12" s="1"/>
  <c r="L4358" i="12" s="1"/>
  <c r="L4359" i="12" s="1"/>
  <c r="L4360" i="12" s="1"/>
  <c r="L4361" i="12" s="1"/>
  <c r="L4362" i="12" s="1"/>
  <c r="L4363" i="12" s="1"/>
  <c r="L4364" i="12" s="1"/>
  <c r="L4365" i="12" s="1"/>
  <c r="L4366" i="12" s="1"/>
  <c r="L4367" i="12" s="1"/>
  <c r="L4368" i="12" s="1"/>
  <c r="L4369" i="12" s="1"/>
  <c r="L4370" i="12" s="1"/>
  <c r="L4371" i="12" s="1"/>
  <c r="L4372" i="12" s="1"/>
  <c r="L4373" i="12" s="1"/>
  <c r="L4374" i="12" s="1"/>
  <c r="L4375" i="12" s="1"/>
  <c r="L4376" i="12" s="1"/>
  <c r="L4377" i="12" s="1"/>
  <c r="L4378" i="12" s="1"/>
  <c r="L4379" i="12" s="1"/>
  <c r="L4380" i="12" s="1"/>
  <c r="L4381" i="12" s="1"/>
  <c r="L4382" i="12" s="1"/>
  <c r="L4383" i="12" s="1"/>
  <c r="L4384" i="12" s="1"/>
  <c r="L4385" i="12" s="1"/>
  <c r="L4386" i="12" s="1"/>
  <c r="L4387" i="12" s="1"/>
  <c r="L4388" i="12" s="1"/>
  <c r="L4389" i="12" s="1"/>
  <c r="L4390" i="12" s="1"/>
  <c r="L4391" i="12" s="1"/>
  <c r="L4392" i="12" s="1"/>
  <c r="L4393" i="12" s="1"/>
  <c r="L4394" i="12" s="1"/>
  <c r="L4395" i="12" s="1"/>
  <c r="L4396" i="12" s="1"/>
  <c r="L4397" i="12" s="1"/>
  <c r="L4398" i="12" s="1"/>
  <c r="L4399" i="12" s="1"/>
  <c r="L4400" i="12" s="1"/>
  <c r="L4401" i="12" s="1"/>
  <c r="L4402" i="12" s="1"/>
  <c r="L4403" i="12" s="1"/>
  <c r="L4404" i="12" s="1"/>
  <c r="L4405" i="12" s="1"/>
  <c r="L4406" i="12" s="1"/>
  <c r="L4407" i="12" s="1"/>
  <c r="L4408" i="12" s="1"/>
  <c r="L4409" i="12" s="1"/>
  <c r="L4410" i="12" s="1"/>
  <c r="L4411" i="12" s="1"/>
  <c r="L4412" i="12" s="1"/>
  <c r="L4413" i="12" s="1"/>
  <c r="L4414" i="12" s="1"/>
  <c r="L4415" i="12" s="1"/>
  <c r="L4416" i="12" s="1"/>
  <c r="L4417" i="12" s="1"/>
  <c r="L4418" i="12" s="1"/>
  <c r="L4419" i="12" s="1"/>
  <c r="L4420" i="12" s="1"/>
  <c r="L4421" i="12" s="1"/>
  <c r="L4422" i="12" s="1"/>
  <c r="L4423" i="12" s="1"/>
  <c r="L4424" i="12" s="1"/>
  <c r="L4425" i="12" s="1"/>
  <c r="L4426" i="12" s="1"/>
  <c r="L4427" i="12" s="1"/>
  <c r="L4428" i="12" s="1"/>
  <c r="L4429" i="12" s="1"/>
  <c r="L4430" i="12" s="1"/>
  <c r="L4431" i="12" s="1"/>
  <c r="L4432" i="12" s="1"/>
  <c r="L4433" i="12" s="1"/>
  <c r="L4434" i="12" s="1"/>
  <c r="L4435" i="12" s="1"/>
  <c r="L4436" i="12" s="1"/>
  <c r="L4437" i="12" s="1"/>
  <c r="L4438" i="12" s="1"/>
  <c r="L4439" i="12" s="1"/>
  <c r="L4440" i="12" s="1"/>
  <c r="L4441" i="12" s="1"/>
  <c r="L4442" i="12" s="1"/>
  <c r="L4443" i="12" s="1"/>
  <c r="L4444" i="12" s="1"/>
  <c r="L4445" i="12" s="1"/>
  <c r="L4446" i="12" s="1"/>
  <c r="L4447" i="12" s="1"/>
  <c r="L4448" i="12" s="1"/>
  <c r="L4449" i="12" s="1"/>
  <c r="L4450" i="12" s="1"/>
  <c r="L4451" i="12" s="1"/>
  <c r="L4452" i="12" s="1"/>
  <c r="L4453" i="12" s="1"/>
  <c r="L4454" i="12" s="1"/>
  <c r="L4455" i="12" s="1"/>
  <c r="L4456" i="12" s="1"/>
  <c r="L4457" i="12" s="1"/>
  <c r="L4458" i="12" s="1"/>
  <c r="L4459" i="12" s="1"/>
  <c r="L4460" i="12" s="1"/>
  <c r="L4461" i="12" s="1"/>
  <c r="L4462" i="12" s="1"/>
  <c r="L4463" i="12" s="1"/>
  <c r="L4464" i="12" s="1"/>
  <c r="L4465" i="12" s="1"/>
  <c r="L4466" i="12" s="1"/>
  <c r="L4467" i="12" s="1"/>
  <c r="L4468" i="12" s="1"/>
  <c r="L4469" i="12" s="1"/>
  <c r="L4470" i="12" s="1"/>
  <c r="L4471" i="12" s="1"/>
  <c r="L4472" i="12" s="1"/>
  <c r="L4473" i="12" s="1"/>
  <c r="L4474" i="12" s="1"/>
  <c r="L4475" i="12" s="1"/>
  <c r="L4476" i="12" s="1"/>
  <c r="L4477" i="12" s="1"/>
  <c r="L4478" i="12" s="1"/>
  <c r="L4479" i="12" s="1"/>
  <c r="L4480" i="12" s="1"/>
  <c r="L4481" i="12" s="1"/>
  <c r="L4482" i="12" s="1"/>
  <c r="L4483" i="12" s="1"/>
  <c r="L4484" i="12" s="1"/>
  <c r="L4485" i="12" s="1"/>
  <c r="L4486" i="12" s="1"/>
  <c r="L4487" i="12" s="1"/>
  <c r="L4488" i="12" s="1"/>
  <c r="L4489" i="12" s="1"/>
  <c r="L4490" i="12" s="1"/>
  <c r="L4491" i="12" s="1"/>
  <c r="L4492" i="12" s="1"/>
  <c r="L4493" i="12" s="1"/>
  <c r="L4494" i="12" s="1"/>
  <c r="L4495" i="12" s="1"/>
  <c r="L4496" i="12" s="1"/>
  <c r="L4497" i="12" s="1"/>
  <c r="L4498" i="12" s="1"/>
  <c r="L4499" i="12" s="1"/>
  <c r="L4500" i="12" s="1"/>
  <c r="L4501" i="12" s="1"/>
  <c r="L4502" i="12" s="1"/>
  <c r="L4503" i="12" s="1"/>
  <c r="L4504" i="12" s="1"/>
  <c r="L4505" i="12" s="1"/>
  <c r="L4506" i="12" s="1"/>
  <c r="L4507" i="12" s="1"/>
  <c r="L4508" i="12" s="1"/>
  <c r="L4509" i="12" s="1"/>
  <c r="L4510" i="12" s="1"/>
  <c r="L4511" i="12" s="1"/>
  <c r="L4512" i="12" s="1"/>
  <c r="L4513" i="12" s="1"/>
  <c r="L4514" i="12" s="1"/>
  <c r="L4515" i="12" s="1"/>
  <c r="L4516" i="12" s="1"/>
  <c r="L4517" i="12" s="1"/>
  <c r="L4518" i="12" s="1"/>
  <c r="L4519" i="12" s="1"/>
  <c r="L4520" i="12" s="1"/>
  <c r="L4521" i="12" s="1"/>
  <c r="L4522" i="12" s="1"/>
  <c r="L4523" i="12" s="1"/>
  <c r="L4524" i="12" s="1"/>
  <c r="L4525" i="12" s="1"/>
  <c r="L4526" i="12" s="1"/>
  <c r="L4527" i="12" s="1"/>
  <c r="L4528" i="12" s="1"/>
  <c r="L4529" i="12" s="1"/>
  <c r="L4530" i="12" s="1"/>
  <c r="L4531" i="12" s="1"/>
  <c r="L4532" i="12" s="1"/>
  <c r="L4533" i="12" s="1"/>
  <c r="L4534" i="12" s="1"/>
  <c r="L4535" i="12" s="1"/>
  <c r="L4536" i="12" s="1"/>
  <c r="L4537" i="12" s="1"/>
  <c r="L4538" i="12" s="1"/>
  <c r="L4539" i="12" s="1"/>
  <c r="L4540" i="12" s="1"/>
  <c r="L4541" i="12" s="1"/>
  <c r="L4542" i="12" s="1"/>
  <c r="L4543" i="12" s="1"/>
  <c r="L4544" i="12" s="1"/>
  <c r="L4545" i="12" s="1"/>
  <c r="L4546" i="12" s="1"/>
  <c r="L4547" i="12" s="1"/>
  <c r="L4548" i="12" s="1"/>
  <c r="L4549" i="12" s="1"/>
  <c r="L4550" i="12" s="1"/>
  <c r="L4551" i="12" s="1"/>
  <c r="L4552" i="12" s="1"/>
  <c r="L4553" i="12" s="1"/>
  <c r="L4554" i="12" s="1"/>
  <c r="L4555" i="12" s="1"/>
  <c r="L4556" i="12" s="1"/>
  <c r="L4557" i="12" s="1"/>
  <c r="L4558" i="12" s="1"/>
  <c r="L4559" i="12" s="1"/>
  <c r="L4560" i="12" s="1"/>
  <c r="L4561" i="12" s="1"/>
  <c r="L4562" i="12" s="1"/>
  <c r="L4563" i="12" s="1"/>
  <c r="L4564" i="12" s="1"/>
  <c r="L4565" i="12" s="1"/>
  <c r="L4566" i="12" s="1"/>
  <c r="L4567" i="12" s="1"/>
  <c r="L4568" i="12" s="1"/>
  <c r="L4569" i="12" s="1"/>
  <c r="L4570" i="12" s="1"/>
  <c r="L4571" i="12" s="1"/>
  <c r="L4572" i="12" s="1"/>
  <c r="L4573" i="12" s="1"/>
  <c r="L4574" i="12" s="1"/>
  <c r="L4575" i="12" s="1"/>
  <c r="L4576" i="12" s="1"/>
  <c r="L4577" i="12" s="1"/>
  <c r="L4578" i="12" s="1"/>
  <c r="L4579" i="12" s="1"/>
  <c r="L4580" i="12" s="1"/>
  <c r="L4581" i="12" s="1"/>
  <c r="L4582" i="12" s="1"/>
  <c r="L4583" i="12" s="1"/>
  <c r="L4584" i="12" s="1"/>
  <c r="L4585" i="12" s="1"/>
  <c r="L4586" i="12" s="1"/>
  <c r="L4587" i="12" s="1"/>
  <c r="L4588" i="12" s="1"/>
  <c r="L4589" i="12" s="1"/>
  <c r="L4590" i="12" s="1"/>
  <c r="L4591" i="12" s="1"/>
  <c r="L4592" i="12" s="1"/>
  <c r="L4593" i="12" s="1"/>
  <c r="L4594" i="12" s="1"/>
  <c r="L4595" i="12" s="1"/>
  <c r="L4596" i="12" s="1"/>
  <c r="L4597" i="12" s="1"/>
  <c r="L4598" i="12" s="1"/>
  <c r="L4599" i="12" s="1"/>
  <c r="L4600" i="12" s="1"/>
  <c r="L4601" i="12" s="1"/>
  <c r="L4602" i="12" s="1"/>
  <c r="L4603" i="12" s="1"/>
  <c r="L4604" i="12" s="1"/>
  <c r="L4605" i="12" s="1"/>
  <c r="L4606" i="12" s="1"/>
  <c r="L4607" i="12" s="1"/>
  <c r="L4608" i="12" s="1"/>
  <c r="L4609" i="12" s="1"/>
  <c r="L4610" i="12" s="1"/>
  <c r="L4611" i="12" s="1"/>
  <c r="L4612" i="12" s="1"/>
  <c r="L4613" i="12" s="1"/>
  <c r="L4614" i="12" s="1"/>
  <c r="L4615" i="12" s="1"/>
  <c r="L4616" i="12" s="1"/>
  <c r="L4617" i="12" s="1"/>
  <c r="L4618" i="12" s="1"/>
  <c r="L4619" i="12" s="1"/>
  <c r="L4620" i="12" s="1"/>
  <c r="L4621" i="12" s="1"/>
  <c r="L4622" i="12" s="1"/>
  <c r="L4623" i="12" s="1"/>
  <c r="L4624" i="12" s="1"/>
  <c r="L4625" i="12" s="1"/>
  <c r="L4626" i="12" s="1"/>
  <c r="L4627" i="12" s="1"/>
  <c r="L4628" i="12" s="1"/>
  <c r="L4629" i="12" s="1"/>
  <c r="L4630" i="12" s="1"/>
  <c r="L4631" i="12" s="1"/>
  <c r="L4632" i="12" s="1"/>
  <c r="L4633" i="12" s="1"/>
  <c r="L4634" i="12" s="1"/>
  <c r="L4635" i="12" s="1"/>
  <c r="L4636" i="12" s="1"/>
  <c r="L4637" i="12" s="1"/>
  <c r="L4638" i="12" s="1"/>
  <c r="L4639" i="12" s="1"/>
  <c r="L4640" i="12" s="1"/>
  <c r="L4641" i="12" s="1"/>
  <c r="L4642" i="12" s="1"/>
  <c r="L4643" i="12" s="1"/>
  <c r="L4644" i="12" s="1"/>
  <c r="L4645" i="12" s="1"/>
  <c r="L4646" i="12" s="1"/>
  <c r="L4647" i="12" s="1"/>
  <c r="L4648" i="12" s="1"/>
  <c r="L4649" i="12" s="1"/>
  <c r="L4650" i="12" s="1"/>
  <c r="L4651" i="12" s="1"/>
  <c r="L4652" i="12" s="1"/>
  <c r="L4653" i="12" s="1"/>
  <c r="L4654" i="12" s="1"/>
  <c r="L4655" i="12" s="1"/>
  <c r="L4656" i="12" s="1"/>
  <c r="L4657" i="12" s="1"/>
  <c r="L4658" i="12" s="1"/>
  <c r="L4659" i="12" s="1"/>
  <c r="L4660" i="12" s="1"/>
  <c r="L4661" i="12" s="1"/>
  <c r="L4662" i="12" s="1"/>
  <c r="L4663" i="12" s="1"/>
  <c r="L4664" i="12" s="1"/>
  <c r="L4665" i="12" s="1"/>
  <c r="L4666" i="12" s="1"/>
  <c r="L4667" i="12" s="1"/>
  <c r="L4668" i="12" s="1"/>
  <c r="L4669" i="12" s="1"/>
  <c r="L4670" i="12" s="1"/>
  <c r="L4671" i="12" s="1"/>
  <c r="L4672" i="12" s="1"/>
  <c r="L4673" i="12" s="1"/>
  <c r="L4674" i="12" s="1"/>
  <c r="L4675" i="12" s="1"/>
  <c r="L4676" i="12" s="1"/>
  <c r="L4677" i="12" s="1"/>
  <c r="L4678" i="12" s="1"/>
  <c r="L4679" i="12" s="1"/>
  <c r="L4680" i="12" s="1"/>
  <c r="L4681" i="12" s="1"/>
  <c r="L4682" i="12" s="1"/>
  <c r="L4683" i="12" s="1"/>
  <c r="L4684" i="12" s="1"/>
  <c r="L4685" i="12" s="1"/>
  <c r="L4686" i="12" s="1"/>
  <c r="L4687" i="12" s="1"/>
  <c r="L4688" i="12" s="1"/>
  <c r="L4689" i="12" s="1"/>
  <c r="L4690" i="12" s="1"/>
  <c r="L4691" i="12" s="1"/>
  <c r="L4692" i="12" s="1"/>
  <c r="L4693" i="12" s="1"/>
  <c r="L4694" i="12" s="1"/>
  <c r="L4695" i="12" s="1"/>
  <c r="L4696" i="12" s="1"/>
  <c r="L4697" i="12" s="1"/>
  <c r="L4698" i="12" s="1"/>
  <c r="L4699" i="12" s="1"/>
  <c r="L4700" i="12" s="1"/>
  <c r="L4701" i="12" s="1"/>
  <c r="L4702" i="12" s="1"/>
  <c r="L4703" i="12" s="1"/>
  <c r="L4704" i="12" s="1"/>
  <c r="L4705" i="12" s="1"/>
  <c r="L4706" i="12" s="1"/>
  <c r="L4707" i="12" s="1"/>
  <c r="L4708" i="12" s="1"/>
  <c r="L4709" i="12" s="1"/>
  <c r="L4710" i="12" s="1"/>
  <c r="L4711" i="12" s="1"/>
  <c r="L4712" i="12" s="1"/>
  <c r="L4713" i="12" s="1"/>
  <c r="L4714" i="12" s="1"/>
  <c r="L4715" i="12" s="1"/>
  <c r="L4716" i="12" s="1"/>
  <c r="L4717" i="12" s="1"/>
  <c r="L4718" i="12" s="1"/>
  <c r="L4719" i="12" s="1"/>
  <c r="L4720" i="12" s="1"/>
  <c r="L4721" i="12" s="1"/>
  <c r="L4722" i="12" s="1"/>
  <c r="L4723" i="12" s="1"/>
  <c r="L4724" i="12" s="1"/>
  <c r="L4725" i="12" s="1"/>
  <c r="L4726" i="12" s="1"/>
  <c r="L4727" i="12" s="1"/>
  <c r="L4728" i="12" s="1"/>
  <c r="L4729" i="12" s="1"/>
  <c r="L4730" i="12" s="1"/>
  <c r="L4731" i="12" s="1"/>
  <c r="L4732" i="12" s="1"/>
  <c r="L4733" i="12" s="1"/>
  <c r="L4734" i="12" s="1"/>
  <c r="L4735" i="12" s="1"/>
  <c r="L4736" i="12" s="1"/>
  <c r="L4737" i="12" s="1"/>
  <c r="L4738" i="12" s="1"/>
  <c r="L4739" i="12" s="1"/>
  <c r="L4740" i="12" s="1"/>
  <c r="L4741" i="12" s="1"/>
  <c r="L4742" i="12" s="1"/>
  <c r="L4743" i="12" s="1"/>
  <c r="L4744" i="12" s="1"/>
  <c r="L4745" i="12" s="1"/>
  <c r="L4746" i="12" s="1"/>
  <c r="L4747" i="12" s="1"/>
  <c r="L4748" i="12" s="1"/>
  <c r="L4749" i="12" s="1"/>
  <c r="L4750" i="12" s="1"/>
  <c r="L4751" i="12" s="1"/>
  <c r="L4752" i="12" s="1"/>
  <c r="L4753" i="12" s="1"/>
  <c r="L4754" i="12" s="1"/>
  <c r="L4755" i="12" s="1"/>
  <c r="L4756" i="12" s="1"/>
  <c r="L4757" i="12" s="1"/>
  <c r="L4758" i="12" s="1"/>
  <c r="L4759" i="12" s="1"/>
  <c r="L4760" i="12" s="1"/>
  <c r="L4761" i="12" s="1"/>
  <c r="L4762" i="12" s="1"/>
  <c r="L4763" i="12" s="1"/>
  <c r="L4764" i="12" s="1"/>
  <c r="L4765" i="12" s="1"/>
  <c r="L4766" i="12" s="1"/>
  <c r="L4767" i="12" s="1"/>
  <c r="L4768" i="12" s="1"/>
  <c r="L4769" i="12" s="1"/>
  <c r="L4770" i="12" s="1"/>
  <c r="L4771" i="12" s="1"/>
  <c r="L4772" i="12" s="1"/>
  <c r="L4773" i="12" s="1"/>
  <c r="L4774" i="12" s="1"/>
  <c r="L4775" i="12" s="1"/>
  <c r="L4776" i="12" s="1"/>
  <c r="L4777" i="12" s="1"/>
  <c r="L4778" i="12" s="1"/>
  <c r="L4779" i="12" s="1"/>
  <c r="L4780" i="12" s="1"/>
  <c r="L4781" i="12" s="1"/>
  <c r="L4782" i="12" s="1"/>
  <c r="L4783" i="12" s="1"/>
  <c r="L4784" i="12" s="1"/>
  <c r="L4785" i="12" s="1"/>
  <c r="L4786" i="12" s="1"/>
  <c r="L4787" i="12" s="1"/>
  <c r="L4788" i="12" s="1"/>
  <c r="L4789" i="12" s="1"/>
  <c r="L4790" i="12" s="1"/>
  <c r="L4791" i="12" s="1"/>
  <c r="L4792" i="12" s="1"/>
  <c r="L4793" i="12" s="1"/>
  <c r="L4794" i="12" s="1"/>
  <c r="L4795" i="12" s="1"/>
  <c r="L4796" i="12" s="1"/>
  <c r="L4797" i="12" s="1"/>
  <c r="L4798" i="12" s="1"/>
  <c r="L4799" i="12" s="1"/>
  <c r="L4800" i="12" s="1"/>
  <c r="L4801" i="12" s="1"/>
  <c r="L4802" i="12" s="1"/>
  <c r="L4803" i="12" s="1"/>
  <c r="L4804" i="12" s="1"/>
  <c r="L4805" i="12" s="1"/>
  <c r="L4806" i="12" s="1"/>
  <c r="L4807" i="12" s="1"/>
  <c r="L4808" i="12" s="1"/>
  <c r="L4809" i="12" s="1"/>
  <c r="L4810" i="12" s="1"/>
  <c r="L4811" i="12" s="1"/>
  <c r="L4812" i="12" s="1"/>
  <c r="L4813" i="12" s="1"/>
  <c r="L4814" i="12" s="1"/>
  <c r="L4815" i="12" s="1"/>
  <c r="L4816" i="12" s="1"/>
  <c r="L4817" i="12" s="1"/>
  <c r="L4818" i="12" s="1"/>
  <c r="L4819" i="12" s="1"/>
  <c r="L4820" i="12" s="1"/>
  <c r="L4821" i="12" s="1"/>
  <c r="L4822" i="12" s="1"/>
  <c r="L4823" i="12" s="1"/>
  <c r="L4824" i="12" s="1"/>
  <c r="L4825" i="12" s="1"/>
  <c r="L4826" i="12" s="1"/>
  <c r="L4827" i="12" s="1"/>
  <c r="L4828" i="12" s="1"/>
  <c r="L4829" i="12" s="1"/>
  <c r="L4830" i="12" s="1"/>
  <c r="L4831" i="12" s="1"/>
  <c r="L4832" i="12" s="1"/>
  <c r="L4833" i="12" s="1"/>
  <c r="L4834" i="12" s="1"/>
  <c r="L4835" i="12" s="1"/>
  <c r="L4836" i="12" s="1"/>
  <c r="L4837" i="12" s="1"/>
  <c r="L4838" i="12" s="1"/>
  <c r="L4839" i="12" s="1"/>
  <c r="L4840" i="12" s="1"/>
  <c r="L4841" i="12" s="1"/>
  <c r="L4842" i="12" s="1"/>
  <c r="L4843" i="12" s="1"/>
  <c r="L4844" i="12" s="1"/>
  <c r="L4845" i="12" s="1"/>
  <c r="L4846" i="12" s="1"/>
  <c r="L4847" i="12" s="1"/>
  <c r="L4848" i="12" s="1"/>
  <c r="L4849" i="12" s="1"/>
  <c r="L4850" i="12" s="1"/>
  <c r="L4851" i="12" s="1"/>
  <c r="L4852" i="12" s="1"/>
  <c r="L4853" i="12" s="1"/>
  <c r="L4854" i="12" s="1"/>
  <c r="L4855" i="12" s="1"/>
  <c r="L4856" i="12" s="1"/>
  <c r="L4857" i="12" s="1"/>
  <c r="L4858" i="12" s="1"/>
  <c r="L4859" i="12" s="1"/>
  <c r="L4860" i="12" s="1"/>
  <c r="L4861" i="12" s="1"/>
  <c r="L4862" i="12" s="1"/>
  <c r="L4863" i="12" s="1"/>
  <c r="L4864" i="12" s="1"/>
  <c r="L4865" i="12" s="1"/>
  <c r="L4866" i="12" s="1"/>
  <c r="L4867" i="12" s="1"/>
  <c r="L4868" i="12" s="1"/>
  <c r="L4869" i="12" s="1"/>
  <c r="L4870" i="12" s="1"/>
  <c r="L4871" i="12" s="1"/>
  <c r="L4872" i="12" s="1"/>
  <c r="L4873" i="12" s="1"/>
  <c r="L4874" i="12" s="1"/>
  <c r="L4875" i="12" s="1"/>
  <c r="L4876" i="12" s="1"/>
  <c r="L4877" i="12" s="1"/>
  <c r="L4878" i="12" s="1"/>
  <c r="L4879" i="12" s="1"/>
  <c r="L4880" i="12" s="1"/>
  <c r="L4881" i="12" s="1"/>
  <c r="L4882" i="12" s="1"/>
  <c r="L4883" i="12" s="1"/>
  <c r="L4884" i="12" s="1"/>
  <c r="L4885" i="12" s="1"/>
  <c r="L4886" i="12" s="1"/>
  <c r="L4887" i="12" s="1"/>
  <c r="L4888" i="12" s="1"/>
  <c r="L4889" i="12" s="1"/>
  <c r="L4890" i="12" s="1"/>
  <c r="L4891" i="12" s="1"/>
  <c r="L4892" i="12" s="1"/>
  <c r="L4893" i="12" s="1"/>
  <c r="L4894" i="12" s="1"/>
  <c r="L4895" i="12" s="1"/>
  <c r="L4896" i="12" s="1"/>
  <c r="L4897" i="12" s="1"/>
  <c r="L4898" i="12" s="1"/>
  <c r="L4899" i="12" s="1"/>
  <c r="L4900" i="12" s="1"/>
  <c r="L4901" i="12" s="1"/>
  <c r="L4902" i="12" s="1"/>
  <c r="L4903" i="12" s="1"/>
  <c r="L4904" i="12" s="1"/>
  <c r="L4905" i="12" s="1"/>
  <c r="L4906" i="12" s="1"/>
  <c r="L4907" i="12" s="1"/>
  <c r="L4908" i="12" s="1"/>
  <c r="L4909" i="12" s="1"/>
  <c r="L4910" i="12" s="1"/>
  <c r="L4911" i="12" s="1"/>
  <c r="L4912" i="12" s="1"/>
  <c r="L4913" i="12" s="1"/>
  <c r="L4914" i="12" s="1"/>
  <c r="L4915" i="12" s="1"/>
  <c r="L4916" i="12" s="1"/>
  <c r="L4917" i="12" s="1"/>
  <c r="L4918" i="12" s="1"/>
  <c r="L4919" i="12" s="1"/>
  <c r="L4920" i="12" s="1"/>
  <c r="L4921" i="12" s="1"/>
  <c r="L4922" i="12" s="1"/>
  <c r="L4923" i="12" s="1"/>
  <c r="L4924" i="12" s="1"/>
  <c r="L4925" i="12" s="1"/>
  <c r="L4926" i="12" s="1"/>
  <c r="L4927" i="12" s="1"/>
  <c r="L4928" i="12" s="1"/>
  <c r="L4929" i="12" s="1"/>
  <c r="L4930" i="12" s="1"/>
  <c r="L4931" i="12" s="1"/>
  <c r="L4932" i="12" s="1"/>
  <c r="L4933" i="12" s="1"/>
  <c r="L4934" i="12" s="1"/>
  <c r="L4935" i="12" s="1"/>
  <c r="L4936" i="12" s="1"/>
  <c r="L4937" i="12" s="1"/>
  <c r="L4938" i="12" s="1"/>
  <c r="L4939" i="12" s="1"/>
  <c r="L4940" i="12" s="1"/>
  <c r="L4941" i="12" s="1"/>
  <c r="L4942" i="12" s="1"/>
  <c r="L4943" i="12" s="1"/>
  <c r="L4944" i="12" s="1"/>
  <c r="L4945" i="12" s="1"/>
  <c r="L4946" i="12" s="1"/>
  <c r="L4947" i="12" s="1"/>
  <c r="L4948" i="12" s="1"/>
  <c r="L4949" i="12" s="1"/>
  <c r="L4950" i="12" s="1"/>
  <c r="L4951" i="12" s="1"/>
  <c r="L4952" i="12" s="1"/>
  <c r="L4953" i="12" s="1"/>
  <c r="L4954" i="12" s="1"/>
  <c r="L4955" i="12" s="1"/>
  <c r="L4956" i="12" s="1"/>
  <c r="L4957" i="12" s="1"/>
  <c r="L4958" i="12" s="1"/>
  <c r="L4959" i="12" s="1"/>
  <c r="L4960" i="12" s="1"/>
  <c r="L4961" i="12" s="1"/>
  <c r="L4962" i="12" s="1"/>
  <c r="L4963" i="12" s="1"/>
  <c r="L4964" i="12" s="1"/>
  <c r="L4965" i="12" s="1"/>
  <c r="L4966" i="12" s="1"/>
  <c r="L4967" i="12" s="1"/>
  <c r="L4968" i="12" s="1"/>
  <c r="L4969" i="12" s="1"/>
  <c r="L4970" i="12" s="1"/>
  <c r="L4971" i="12" s="1"/>
  <c r="L4972" i="12" s="1"/>
  <c r="L4973" i="12" s="1"/>
  <c r="L4974" i="12" s="1"/>
  <c r="L4975" i="12" s="1"/>
  <c r="L4976" i="12" s="1"/>
  <c r="L4977" i="12" s="1"/>
  <c r="L4978" i="12" s="1"/>
  <c r="L4979" i="12" s="1"/>
  <c r="L4980" i="12" s="1"/>
  <c r="L4981" i="12" s="1"/>
  <c r="L4982" i="12" s="1"/>
  <c r="L4983" i="12" s="1"/>
  <c r="L4984" i="12" s="1"/>
  <c r="L4985" i="12" s="1"/>
  <c r="L4986" i="12" s="1"/>
  <c r="L4987" i="12" s="1"/>
  <c r="L4988" i="12" s="1"/>
  <c r="L4989" i="12" s="1"/>
  <c r="L4990" i="12" s="1"/>
  <c r="L4991" i="12" s="1"/>
  <c r="L4992" i="12" s="1"/>
  <c r="L4993" i="12" s="1"/>
  <c r="L4994" i="12" s="1"/>
  <c r="L4995" i="12" s="1"/>
  <c r="L4996" i="12" s="1"/>
  <c r="L4997" i="12" s="1"/>
  <c r="L4998" i="12" s="1"/>
  <c r="L4999" i="12" s="1"/>
  <c r="L5000" i="12" s="1"/>
  <c r="L5001" i="12" s="1"/>
  <c r="L5002" i="12" s="1"/>
  <c r="L5003" i="12" s="1"/>
  <c r="L5004" i="12" s="1"/>
  <c r="L5005" i="12" s="1"/>
  <c r="L5006" i="12" s="1"/>
  <c r="L5007" i="12" s="1"/>
  <c r="L5008" i="12" s="1"/>
  <c r="L5009" i="12" s="1"/>
  <c r="L5010" i="12" s="1"/>
  <c r="L5011" i="12" s="1"/>
  <c r="L5012" i="12" s="1"/>
  <c r="L5013" i="12" s="1"/>
  <c r="L5014" i="12" s="1"/>
  <c r="L5015" i="12" s="1"/>
  <c r="L5016" i="12" s="1"/>
  <c r="L5017" i="12" s="1"/>
  <c r="L5018" i="12" s="1"/>
  <c r="L5019" i="12" s="1"/>
  <c r="L5020" i="12" s="1"/>
  <c r="L5021" i="12" s="1"/>
  <c r="L5022" i="12" s="1"/>
  <c r="L5023" i="12" s="1"/>
  <c r="L5024" i="12" s="1"/>
  <c r="L5025" i="12" s="1"/>
  <c r="L5026" i="12" s="1"/>
  <c r="L5027" i="12" s="1"/>
  <c r="L5028" i="12" s="1"/>
  <c r="L5029" i="12" s="1"/>
  <c r="L5030" i="12" s="1"/>
  <c r="L5031" i="12" s="1"/>
  <c r="L5032" i="12" s="1"/>
  <c r="L5033" i="12" s="1"/>
  <c r="L5034" i="12" s="1"/>
  <c r="L5035" i="12" s="1"/>
  <c r="L5036" i="12" s="1"/>
  <c r="L5037" i="12" s="1"/>
  <c r="L5038" i="12" s="1"/>
  <c r="L5039" i="12" s="1"/>
  <c r="L5040" i="12" s="1"/>
  <c r="L5041" i="12" s="1"/>
  <c r="L5042" i="12" s="1"/>
  <c r="L5043" i="12" s="1"/>
  <c r="L5044" i="12" s="1"/>
  <c r="L5045" i="12" s="1"/>
  <c r="L5046" i="12" s="1"/>
  <c r="L5047" i="12" s="1"/>
  <c r="L5048" i="12" s="1"/>
  <c r="L5049" i="12" s="1"/>
  <c r="L5050" i="12" s="1"/>
  <c r="L5051" i="12" s="1"/>
  <c r="L5052" i="12" s="1"/>
  <c r="L5053" i="12" s="1"/>
  <c r="L5054" i="12" s="1"/>
  <c r="L5055" i="12" s="1"/>
  <c r="L5056" i="12" s="1"/>
  <c r="L5057" i="12" s="1"/>
  <c r="L5058" i="12" s="1"/>
  <c r="L5059" i="12" s="1"/>
  <c r="L5060" i="12" s="1"/>
  <c r="L5061" i="12" s="1"/>
  <c r="L5062" i="12" s="1"/>
  <c r="L5063" i="12" s="1"/>
  <c r="L5064" i="12" s="1"/>
  <c r="L5065" i="12" s="1"/>
  <c r="L5066" i="12" s="1"/>
  <c r="L5067" i="12" s="1"/>
  <c r="L5068" i="12" s="1"/>
  <c r="L5069" i="12" s="1"/>
  <c r="L5070" i="12" s="1"/>
  <c r="L5071" i="12" s="1"/>
  <c r="L5072" i="12" s="1"/>
  <c r="L5073" i="12" s="1"/>
  <c r="L5074" i="12" s="1"/>
  <c r="L5075" i="12" s="1"/>
  <c r="L5076" i="12" s="1"/>
  <c r="L5077" i="12" s="1"/>
  <c r="L5078" i="12" s="1"/>
  <c r="L5079" i="12" s="1"/>
  <c r="L5080" i="12" s="1"/>
  <c r="L5081" i="12" s="1"/>
  <c r="L5082" i="12" s="1"/>
  <c r="L5083" i="12" s="1"/>
  <c r="L5084" i="12" s="1"/>
  <c r="L5085" i="12" s="1"/>
  <c r="L5086" i="12" s="1"/>
  <c r="L5087" i="12" s="1"/>
  <c r="L5088" i="12" s="1"/>
  <c r="L5089" i="12" s="1"/>
  <c r="L5090" i="12" s="1"/>
  <c r="L5091" i="12" s="1"/>
  <c r="L5092" i="12" s="1"/>
  <c r="L5093" i="12" s="1"/>
  <c r="L5094" i="12" s="1"/>
  <c r="L5095" i="12" s="1"/>
  <c r="L5096" i="12" s="1"/>
  <c r="L5097" i="12" s="1"/>
  <c r="L5098" i="12" s="1"/>
  <c r="L5099" i="12" s="1"/>
  <c r="L5100" i="12" s="1"/>
  <c r="L5101" i="12" s="1"/>
  <c r="L5102" i="12" s="1"/>
  <c r="L5103" i="12" s="1"/>
  <c r="L5104" i="12" s="1"/>
  <c r="L5105" i="12" s="1"/>
  <c r="L5106" i="12" s="1"/>
  <c r="L5107" i="12" s="1"/>
  <c r="L5108" i="12" s="1"/>
  <c r="L5109" i="12" s="1"/>
  <c r="L5110" i="12" s="1"/>
  <c r="L5111" i="12" s="1"/>
  <c r="L5112" i="12" s="1"/>
  <c r="L5113" i="12" s="1"/>
  <c r="L5114" i="12" s="1"/>
  <c r="L5115" i="12" s="1"/>
  <c r="L5116" i="12" s="1"/>
  <c r="L5117" i="12" s="1"/>
  <c r="L5118" i="12" s="1"/>
  <c r="L5119" i="12" s="1"/>
  <c r="L5120" i="12" s="1"/>
  <c r="L5121" i="12" s="1"/>
  <c r="L5122" i="12" s="1"/>
  <c r="L5123" i="12" s="1"/>
  <c r="L5124" i="12" s="1"/>
  <c r="L5125" i="12" s="1"/>
  <c r="L5126" i="12" s="1"/>
  <c r="L5127" i="12" s="1"/>
  <c r="L5128" i="12" s="1"/>
  <c r="L5129" i="12" s="1"/>
  <c r="L5130" i="12" s="1"/>
  <c r="L5131" i="12" s="1"/>
  <c r="L5132" i="12" s="1"/>
  <c r="L5133" i="12" s="1"/>
  <c r="L5134" i="12" s="1"/>
  <c r="L5135" i="12" s="1"/>
  <c r="L5136" i="12" s="1"/>
  <c r="L5137" i="12" s="1"/>
  <c r="L5138" i="12" s="1"/>
  <c r="L5139" i="12" s="1"/>
  <c r="L5140" i="12" s="1"/>
  <c r="L5141" i="12" s="1"/>
  <c r="L5142" i="12" s="1"/>
  <c r="L5143" i="12" s="1"/>
  <c r="L5144" i="12" s="1"/>
  <c r="L5145" i="12" s="1"/>
  <c r="L5146" i="12" s="1"/>
  <c r="L5147" i="12" s="1"/>
  <c r="L5148" i="12" s="1"/>
  <c r="L5149" i="12" s="1"/>
  <c r="L5150" i="12" s="1"/>
  <c r="L5151" i="12" s="1"/>
  <c r="L5152" i="12" s="1"/>
  <c r="L5153" i="12" s="1"/>
  <c r="L5154" i="12" s="1"/>
  <c r="L5155" i="12" s="1"/>
  <c r="L5156" i="12" s="1"/>
  <c r="L5157" i="12" s="1"/>
  <c r="L5158" i="12" s="1"/>
  <c r="L5159" i="12" s="1"/>
  <c r="L5160" i="12" s="1"/>
  <c r="L5161" i="12" s="1"/>
  <c r="L5162" i="12" s="1"/>
  <c r="L5163" i="12" s="1"/>
  <c r="L5164" i="12" s="1"/>
  <c r="L5165" i="12" s="1"/>
  <c r="L5166" i="12" s="1"/>
  <c r="L5167" i="12" s="1"/>
  <c r="L5168" i="12" s="1"/>
  <c r="L5169" i="12" s="1"/>
  <c r="L5170" i="12" s="1"/>
  <c r="L5171" i="12" s="1"/>
  <c r="L5172" i="12" s="1"/>
  <c r="L5173" i="12" s="1"/>
  <c r="L5174" i="12" s="1"/>
  <c r="L5175" i="12" s="1"/>
  <c r="L5176" i="12" s="1"/>
  <c r="L5177" i="12" s="1"/>
  <c r="L5178" i="12" s="1"/>
  <c r="L5179" i="12" s="1"/>
  <c r="L5180" i="12" s="1"/>
  <c r="L5181" i="12" s="1"/>
  <c r="L5182" i="12" s="1"/>
  <c r="L5183" i="12" s="1"/>
  <c r="L5184" i="12" s="1"/>
  <c r="L5185" i="12" s="1"/>
  <c r="L5186" i="12" s="1"/>
  <c r="L5187" i="12" s="1"/>
  <c r="L5188" i="12" s="1"/>
  <c r="L5189" i="12" s="1"/>
  <c r="L5190" i="12" s="1"/>
  <c r="L5191" i="12" s="1"/>
  <c r="L5192" i="12" s="1"/>
  <c r="L5193" i="12" s="1"/>
  <c r="L5194" i="12" s="1"/>
  <c r="L5195" i="12" s="1"/>
  <c r="L5196" i="12" s="1"/>
  <c r="L5197" i="12" s="1"/>
  <c r="L5198" i="12" s="1"/>
  <c r="L5199" i="12" s="1"/>
  <c r="L5200" i="12" s="1"/>
  <c r="L5201" i="12" s="1"/>
  <c r="L5202" i="12" s="1"/>
  <c r="L5203" i="12" s="1"/>
  <c r="L5204" i="12" s="1"/>
  <c r="L5205" i="12" s="1"/>
  <c r="L5206" i="12" s="1"/>
  <c r="L5207" i="12" s="1"/>
  <c r="L5208" i="12" s="1"/>
  <c r="L5209" i="12" s="1"/>
  <c r="L5210" i="12" s="1"/>
  <c r="L5211" i="12" s="1"/>
  <c r="L5212" i="12" s="1"/>
  <c r="L5213" i="12" s="1"/>
  <c r="L5214" i="12" s="1"/>
  <c r="L5215" i="12" s="1"/>
  <c r="L5216" i="12" s="1"/>
  <c r="L5217" i="12" s="1"/>
  <c r="L5218" i="12" s="1"/>
  <c r="L5219" i="12" s="1"/>
  <c r="L5220" i="12" s="1"/>
  <c r="L5221" i="12" s="1"/>
  <c r="L5222" i="12" s="1"/>
  <c r="L5223" i="12" s="1"/>
  <c r="L5224" i="12" s="1"/>
  <c r="L5225" i="12" s="1"/>
  <c r="L5226" i="12" s="1"/>
  <c r="L5227" i="12" s="1"/>
  <c r="L5228" i="12" s="1"/>
  <c r="L5229" i="12" s="1"/>
  <c r="L5230" i="12" s="1"/>
  <c r="L5231" i="12" s="1"/>
  <c r="L5232" i="12" s="1"/>
  <c r="L5233" i="12" s="1"/>
  <c r="L5234" i="12" s="1"/>
  <c r="L5235" i="12" s="1"/>
  <c r="L5236" i="12" s="1"/>
  <c r="L5237" i="12" s="1"/>
  <c r="L5238" i="12" s="1"/>
  <c r="L5239" i="12" s="1"/>
  <c r="L5240" i="12" s="1"/>
  <c r="L5241" i="12" s="1"/>
  <c r="L5242" i="12" s="1"/>
  <c r="L5243" i="12" s="1"/>
  <c r="L5244" i="12" s="1"/>
  <c r="L5245" i="12" s="1"/>
  <c r="L5246" i="12" s="1"/>
  <c r="L5247" i="12" s="1"/>
  <c r="L5248" i="12" s="1"/>
  <c r="L5249" i="12" s="1"/>
  <c r="L5250" i="12" s="1"/>
  <c r="L5251" i="12" s="1"/>
  <c r="L5252" i="12" s="1"/>
  <c r="L5253" i="12" s="1"/>
  <c r="L5254" i="12" s="1"/>
  <c r="L5255" i="12" s="1"/>
  <c r="L5256" i="12" s="1"/>
  <c r="L5257" i="12" s="1"/>
  <c r="L5258" i="12" s="1"/>
  <c r="L5259" i="12" s="1"/>
  <c r="L5260" i="12" s="1"/>
  <c r="L5261" i="12" s="1"/>
  <c r="L5262" i="12" s="1"/>
  <c r="L5263" i="12" s="1"/>
  <c r="L5264" i="12" s="1"/>
  <c r="L5265" i="12" s="1"/>
  <c r="L5266" i="12" s="1"/>
  <c r="L5267" i="12" s="1"/>
  <c r="L5268" i="12" s="1"/>
  <c r="L5269" i="12" s="1"/>
  <c r="L5270" i="12" s="1"/>
  <c r="L5271" i="12" s="1"/>
  <c r="L5272" i="12" s="1"/>
  <c r="L5273" i="12" s="1"/>
  <c r="L5274" i="12" s="1"/>
  <c r="L5275" i="12" s="1"/>
  <c r="L5276" i="12" s="1"/>
  <c r="L5277" i="12" s="1"/>
  <c r="L5278" i="12" s="1"/>
  <c r="L5279" i="12" s="1"/>
  <c r="L5280" i="12" s="1"/>
  <c r="L5281" i="12" s="1"/>
  <c r="L5282" i="12" s="1"/>
  <c r="L5283" i="12" s="1"/>
  <c r="L5284" i="12" s="1"/>
  <c r="L5285" i="12" s="1"/>
  <c r="L5286" i="12" s="1"/>
  <c r="L5287" i="12" s="1"/>
  <c r="L5288" i="12" s="1"/>
  <c r="L5289" i="12" s="1"/>
  <c r="L5290" i="12" s="1"/>
  <c r="L5291" i="12" s="1"/>
  <c r="L5292" i="12" s="1"/>
  <c r="L5293" i="12" s="1"/>
  <c r="L5294" i="12" s="1"/>
  <c r="L5295" i="12" s="1"/>
  <c r="L5296" i="12" s="1"/>
  <c r="L5297" i="12" s="1"/>
  <c r="L5298" i="12" s="1"/>
  <c r="L5299" i="12" s="1"/>
  <c r="L5300" i="12" s="1"/>
  <c r="L5301" i="12" s="1"/>
  <c r="L5302" i="12" s="1"/>
  <c r="L5303" i="12" s="1"/>
  <c r="L5304" i="12" s="1"/>
  <c r="L5305" i="12" s="1"/>
  <c r="L5306" i="12" s="1"/>
  <c r="L5307" i="12" s="1"/>
  <c r="L5308" i="12" s="1"/>
  <c r="L5309" i="12" s="1"/>
  <c r="L5310" i="12" s="1"/>
  <c r="L5311" i="12" s="1"/>
  <c r="L5312" i="12" s="1"/>
  <c r="L5313" i="12" s="1"/>
  <c r="L5314" i="12" s="1"/>
  <c r="L5315" i="12" s="1"/>
  <c r="L5316" i="12" s="1"/>
  <c r="L5317" i="12" s="1"/>
  <c r="L5318" i="12" s="1"/>
  <c r="L5319" i="12" s="1"/>
  <c r="L5320" i="12" s="1"/>
  <c r="L5321" i="12" s="1"/>
  <c r="L5322" i="12" s="1"/>
  <c r="L5323" i="12" s="1"/>
  <c r="L5324" i="12" s="1"/>
  <c r="L5325" i="12" s="1"/>
  <c r="L5326" i="12" s="1"/>
  <c r="L5327" i="12" s="1"/>
  <c r="L5328" i="12" s="1"/>
  <c r="L5329" i="12" s="1"/>
  <c r="L5330" i="12" s="1"/>
  <c r="B6" i="12"/>
  <c r="B7" i="12"/>
  <c r="B8" i="12"/>
  <c r="B9" i="12"/>
  <c r="B10" i="12"/>
  <c r="B11" i="12"/>
  <c r="B12" i="12"/>
  <c r="B13" i="12"/>
  <c r="B14" i="12"/>
  <c r="B15" i="12"/>
  <c r="B16" i="12"/>
  <c r="B4" i="12"/>
  <c r="B5" i="12" s="1"/>
  <c r="M36" i="9"/>
  <c r="M18" i="9"/>
  <c r="D6" i="9"/>
  <c r="I4" i="9"/>
  <c r="M4" i="9"/>
  <c r="AB4" i="9"/>
  <c r="V5" i="9"/>
  <c r="V8" i="9" s="1"/>
  <c r="V12" i="9" s="1"/>
  <c r="V10" i="9" s="1"/>
  <c r="S8" i="9"/>
  <c r="S4" i="9" s="1"/>
  <c r="D9" i="9"/>
  <c r="Y9" i="9"/>
  <c r="P10" i="9"/>
  <c r="P8" i="9" s="1"/>
  <c r="I11" i="9"/>
  <c r="M11" i="9"/>
  <c r="Y11" i="9"/>
  <c r="AB11" i="9"/>
  <c r="D12" i="9"/>
  <c r="P14" i="9"/>
  <c r="P13" i="9" s="1"/>
  <c r="S15" i="9"/>
  <c r="S12" i="9" s="1"/>
  <c r="I18" i="9"/>
  <c r="P18" i="9"/>
  <c r="V18" i="9"/>
  <c r="AB18" i="9"/>
  <c r="S20" i="9"/>
  <c r="Y22" i="9"/>
  <c r="I25" i="9"/>
  <c r="M25" i="9"/>
  <c r="AB25" i="9"/>
  <c r="V26" i="9"/>
  <c r="Y26" i="9"/>
  <c r="I32" i="9"/>
  <c r="M32" i="9"/>
  <c r="AB32" i="9"/>
  <c r="V34" i="9"/>
  <c r="Y34" i="9"/>
  <c r="V42" i="9"/>
  <c r="Y42" i="9"/>
  <c r="V50" i="9"/>
  <c r="C20" i="8"/>
  <c r="T4" i="8"/>
  <c r="V4" i="8" s="1"/>
  <c r="S4" i="8"/>
  <c r="J4" i="8"/>
  <c r="L4" i="8" s="1"/>
  <c r="K4" i="8"/>
  <c r="C7" i="8"/>
  <c r="W4" i="8" l="1"/>
  <c r="M40" i="9"/>
  <c r="K5" i="8"/>
  <c r="N4" i="8"/>
  <c r="J5" i="8"/>
  <c r="L5" i="8" s="1"/>
  <c r="K6" i="8"/>
  <c r="M5" i="8"/>
  <c r="J6" i="8"/>
  <c r="L6" i="8" s="1"/>
  <c r="U4" i="8"/>
  <c r="Z4" i="8" s="1"/>
  <c r="X4" i="8"/>
  <c r="S5" i="8"/>
  <c r="T5" i="8"/>
  <c r="M4" i="8"/>
  <c r="C11" i="4"/>
  <c r="C12" i="4" s="1"/>
  <c r="N6" i="8" l="1"/>
  <c r="Q5" i="8"/>
  <c r="P5" i="8"/>
  <c r="Y4" i="8"/>
  <c r="O4" i="8"/>
  <c r="P4" i="8"/>
  <c r="N5" i="8"/>
  <c r="O5" i="8" s="1"/>
  <c r="W5" i="8"/>
  <c r="Q4" i="8"/>
  <c r="U5" i="8"/>
  <c r="J7" i="8"/>
  <c r="L7" i="8" s="1"/>
  <c r="K7" i="8"/>
  <c r="M6" i="8"/>
  <c r="O6" i="8" s="1"/>
  <c r="V5" i="8"/>
  <c r="Y5" i="8" s="1"/>
  <c r="T6" i="8"/>
  <c r="S6" i="8"/>
  <c r="Z5" i="8" l="1"/>
  <c r="N7" i="8"/>
  <c r="P6" i="8"/>
  <c r="Z6" i="8"/>
  <c r="Y6" i="8"/>
  <c r="W6" i="8"/>
  <c r="Q6" i="8"/>
  <c r="J8" i="8"/>
  <c r="U6" i="8"/>
  <c r="K8" i="8"/>
  <c r="M7" i="8"/>
  <c r="Q7" i="8" s="1"/>
  <c r="S7" i="8"/>
  <c r="V6" i="8"/>
  <c r="T7" i="8"/>
  <c r="X5" i="8"/>
  <c r="L8" i="8" l="1"/>
  <c r="W7" i="8"/>
  <c r="P7" i="8"/>
  <c r="O7" i="8"/>
  <c r="J9" i="8"/>
  <c r="X6" i="8"/>
  <c r="U7" i="8"/>
  <c r="M8" i="8"/>
  <c r="K9" i="8"/>
  <c r="T8" i="8"/>
  <c r="V7" i="8"/>
  <c r="Y7" i="8" s="1"/>
  <c r="S8" i="8"/>
  <c r="L9" i="8" l="1"/>
  <c r="Z7" i="8"/>
  <c r="P8" i="8"/>
  <c r="W8" i="8"/>
  <c r="N8" i="8"/>
  <c r="Q8" i="8"/>
  <c r="X7" i="8"/>
  <c r="N9" i="8"/>
  <c r="O8" i="8"/>
  <c r="M9" i="8"/>
  <c r="Q9" i="8" s="1"/>
  <c r="K10" i="8"/>
  <c r="J10" i="8"/>
  <c r="U8" i="8"/>
  <c r="S9" i="8"/>
  <c r="V8" i="8"/>
  <c r="X8" i="8" s="1"/>
  <c r="T9" i="8"/>
  <c r="L10" i="8" l="1"/>
  <c r="N10" i="8" s="1"/>
  <c r="W9" i="8"/>
  <c r="P9" i="8"/>
  <c r="Z8" i="8"/>
  <c r="Y8" i="8"/>
  <c r="U9" i="8"/>
  <c r="J11" i="8"/>
  <c r="K11" i="8"/>
  <c r="M10" i="8"/>
  <c r="Q10" i="8" s="1"/>
  <c r="O9" i="8"/>
  <c r="T10" i="8"/>
  <c r="V9" i="8"/>
  <c r="Z9" i="8" s="1"/>
  <c r="S10" i="8"/>
  <c r="P10" i="8" l="1"/>
  <c r="L11" i="8"/>
  <c r="N11" i="8" s="1"/>
  <c r="Y9" i="8"/>
  <c r="Z10" i="8"/>
  <c r="W10" i="8"/>
  <c r="O10" i="8"/>
  <c r="J12" i="8"/>
  <c r="U10" i="8"/>
  <c r="K12" i="8"/>
  <c r="M11" i="8"/>
  <c r="S11" i="8"/>
  <c r="X9" i="8"/>
  <c r="T11" i="8"/>
  <c r="V10" i="8"/>
  <c r="Y10" i="8" s="1"/>
  <c r="L12" i="8" l="1"/>
  <c r="Q11" i="8"/>
  <c r="X10" i="8"/>
  <c r="W11" i="8"/>
  <c r="Z11" i="8"/>
  <c r="P11" i="8"/>
  <c r="N12" i="8"/>
  <c r="O11" i="8"/>
  <c r="M12" i="8"/>
  <c r="P12" i="8" s="1"/>
  <c r="K13" i="8"/>
  <c r="U11" i="8"/>
  <c r="J13" i="8"/>
  <c r="T12" i="8"/>
  <c r="V11" i="8"/>
  <c r="Y11" i="8" s="1"/>
  <c r="S12" i="8"/>
  <c r="W12" i="8" l="1"/>
  <c r="Q12" i="8"/>
  <c r="L13" i="8"/>
  <c r="N13" i="8" s="1"/>
  <c r="X11" i="8"/>
  <c r="U12" i="8"/>
  <c r="J14" i="8"/>
  <c r="K14" i="8"/>
  <c r="M13" i="8"/>
  <c r="O12" i="8"/>
  <c r="S13" i="8"/>
  <c r="V12" i="8"/>
  <c r="Y12" i="8" s="1"/>
  <c r="T13" i="8"/>
  <c r="L14" i="8" l="1"/>
  <c r="N14" i="8" s="1"/>
  <c r="W13" i="8"/>
  <c r="P13" i="8"/>
  <c r="Z12" i="8"/>
  <c r="Q13" i="8"/>
  <c r="X12" i="8"/>
  <c r="O13" i="8"/>
  <c r="K15" i="8"/>
  <c r="M14" i="8"/>
  <c r="Q14" i="8" s="1"/>
  <c r="U13" i="8"/>
  <c r="J15" i="8"/>
  <c r="S14" i="8"/>
  <c r="V13" i="8"/>
  <c r="Y13" i="8" s="1"/>
  <c r="T14" i="8"/>
  <c r="Z13" i="8" l="1"/>
  <c r="W14" i="8"/>
  <c r="Y14" i="8"/>
  <c r="Z14" i="8"/>
  <c r="L15" i="8"/>
  <c r="N15" i="8" s="1"/>
  <c r="P14" i="8"/>
  <c r="X13" i="8"/>
  <c r="J16" i="8"/>
  <c r="O14" i="8"/>
  <c r="U14" i="8"/>
  <c r="K16" i="8"/>
  <c r="M15" i="8"/>
  <c r="V14" i="8"/>
  <c r="T15" i="8"/>
  <c r="S15" i="8"/>
  <c r="L16" i="8" l="1"/>
  <c r="N16" i="8"/>
  <c r="P16" i="8"/>
  <c r="P15" i="8"/>
  <c r="Y15" i="8"/>
  <c r="W15" i="8"/>
  <c r="Z15" i="8"/>
  <c r="Q15" i="8"/>
  <c r="O15" i="8"/>
  <c r="U15" i="8"/>
  <c r="K17" i="8"/>
  <c r="M16" i="8"/>
  <c r="Q16" i="8" s="1"/>
  <c r="J17" i="8"/>
  <c r="S16" i="8"/>
  <c r="V15" i="8"/>
  <c r="T16" i="8"/>
  <c r="X14" i="8"/>
  <c r="L17" i="8" l="1"/>
  <c r="N17" i="8"/>
  <c r="Z16" i="8"/>
  <c r="Y16" i="8"/>
  <c r="W16" i="8"/>
  <c r="X15" i="8"/>
  <c r="J18" i="8"/>
  <c r="K18" i="8"/>
  <c r="M17" i="8"/>
  <c r="P17" i="8" s="1"/>
  <c r="U16" i="8"/>
  <c r="O16" i="8"/>
  <c r="T17" i="8"/>
  <c r="V16" i="8"/>
  <c r="S17" i="8"/>
  <c r="L18" i="8" l="1"/>
  <c r="X16" i="8"/>
  <c r="W17" i="8"/>
  <c r="N18" i="8"/>
  <c r="Q17" i="8"/>
  <c r="O17" i="8"/>
  <c r="U17" i="8"/>
  <c r="M18" i="8"/>
  <c r="Q18" i="8" s="1"/>
  <c r="K19" i="8"/>
  <c r="J19" i="8"/>
  <c r="L19" i="8" s="1"/>
  <c r="S18" i="8"/>
  <c r="V17" i="8"/>
  <c r="Y17" i="8" s="1"/>
  <c r="T18" i="8"/>
  <c r="P18" i="8" l="1"/>
  <c r="Z17" i="8"/>
  <c r="W18" i="8"/>
  <c r="N19" i="8"/>
  <c r="X17" i="8"/>
  <c r="U18" i="8"/>
  <c r="J20" i="8"/>
  <c r="M19" i="8"/>
  <c r="Q19" i="8" s="1"/>
  <c r="K20" i="8"/>
  <c r="O18" i="8"/>
  <c r="T19" i="8"/>
  <c r="V18" i="8"/>
  <c r="Y18" i="8" s="1"/>
  <c r="S19" i="8"/>
  <c r="L20" i="8" l="1"/>
  <c r="Z18" i="8"/>
  <c r="P19" i="8"/>
  <c r="W19" i="8"/>
  <c r="Y19" i="8"/>
  <c r="N20" i="8"/>
  <c r="O19" i="8"/>
  <c r="U19" i="8"/>
  <c r="K21" i="8"/>
  <c r="M20" i="8"/>
  <c r="Q20" i="8" s="1"/>
  <c r="J21" i="8"/>
  <c r="X18" i="8"/>
  <c r="S20" i="8"/>
  <c r="V19" i="8"/>
  <c r="Z19" i="8" s="1"/>
  <c r="T20" i="8"/>
  <c r="W20" i="8" l="1"/>
  <c r="P20" i="8"/>
  <c r="L21" i="8"/>
  <c r="X19" i="8"/>
  <c r="J22" i="8"/>
  <c r="U20" i="8"/>
  <c r="O20" i="8"/>
  <c r="K22" i="8"/>
  <c r="M21" i="8"/>
  <c r="T21" i="8"/>
  <c r="V20" i="8"/>
  <c r="Z20" i="8" s="1"/>
  <c r="S21" i="8"/>
  <c r="P21" i="8" l="1"/>
  <c r="L22" i="8"/>
  <c r="Y20" i="8"/>
  <c r="W21" i="8"/>
  <c r="N21" i="8"/>
  <c r="Q21" i="8"/>
  <c r="N22" i="8"/>
  <c r="O21" i="8"/>
  <c r="U21" i="8"/>
  <c r="K23" i="8"/>
  <c r="M22" i="8"/>
  <c r="P22" i="8" s="1"/>
  <c r="J23" i="8"/>
  <c r="S22" i="8"/>
  <c r="X20" i="8"/>
  <c r="T22" i="8"/>
  <c r="V21" i="8"/>
  <c r="Y21" i="8" s="1"/>
  <c r="Z21" i="8" l="1"/>
  <c r="Q22" i="8"/>
  <c r="W22" i="8"/>
  <c r="M23" i="8"/>
  <c r="L23" i="8"/>
  <c r="Q23" i="8" s="1"/>
  <c r="X21" i="8"/>
  <c r="J24" i="8"/>
  <c r="U22" i="8"/>
  <c r="O22" i="8"/>
  <c r="K24" i="8"/>
  <c r="T23" i="8"/>
  <c r="V22" i="8"/>
  <c r="Y22" i="8" s="1"/>
  <c r="S23" i="8"/>
  <c r="L24" i="8" l="1"/>
  <c r="P23" i="8"/>
  <c r="N23" i="8"/>
  <c r="O23" i="8" s="1"/>
  <c r="M24" i="8"/>
  <c r="N24" i="8"/>
  <c r="P24" i="8"/>
  <c r="Z22" i="8"/>
  <c r="Z23" i="8"/>
  <c r="Y23" i="8"/>
  <c r="W23" i="8"/>
  <c r="K25" i="8"/>
  <c r="U23" i="8"/>
  <c r="J25" i="8"/>
  <c r="L25" i="8" s="1"/>
  <c r="X22" i="8"/>
  <c r="S24" i="8"/>
  <c r="T24" i="8"/>
  <c r="V23" i="8"/>
  <c r="O24" i="8" l="1"/>
  <c r="Q24" i="8"/>
  <c r="Q25" i="8"/>
  <c r="N25" i="8"/>
  <c r="P25" i="8"/>
  <c r="Z24" i="8"/>
  <c r="Y24" i="8"/>
  <c r="W24" i="8"/>
  <c r="X23" i="8"/>
  <c r="J26" i="8"/>
  <c r="L26" i="8" s="1"/>
  <c r="U24" i="8"/>
  <c r="M25" i="8"/>
  <c r="K26" i="8"/>
  <c r="T25" i="8"/>
  <c r="V24" i="8"/>
  <c r="S25" i="8"/>
  <c r="X24" i="8" l="1"/>
  <c r="O25" i="8"/>
  <c r="N26" i="8"/>
  <c r="Y25" i="8"/>
  <c r="W25" i="8"/>
  <c r="Z25" i="8"/>
  <c r="U25" i="8"/>
  <c r="K27" i="8"/>
  <c r="M26" i="8"/>
  <c r="O26" i="8" s="1"/>
  <c r="J27" i="8"/>
  <c r="S26" i="8"/>
  <c r="T26" i="8"/>
  <c r="V25" i="8"/>
  <c r="X25" i="8" l="1"/>
  <c r="Q26" i="8"/>
  <c r="P26" i="8"/>
  <c r="L27" i="8"/>
  <c r="W26" i="8"/>
  <c r="Y26" i="8"/>
  <c r="Z26" i="8"/>
  <c r="Q27" i="8"/>
  <c r="P27" i="8"/>
  <c r="N27" i="8"/>
  <c r="U26" i="8"/>
  <c r="J28" i="8"/>
  <c r="K28" i="8"/>
  <c r="M27" i="8"/>
  <c r="V26" i="8"/>
  <c r="T27" i="8"/>
  <c r="S27" i="8"/>
  <c r="X26" i="8" l="1"/>
  <c r="O27" i="8"/>
  <c r="L28" i="8"/>
  <c r="N28" i="8"/>
  <c r="Y27" i="8"/>
  <c r="W27" i="8"/>
  <c r="Z27" i="8"/>
  <c r="K29" i="8"/>
  <c r="M28" i="8"/>
  <c r="O28" i="8" s="1"/>
  <c r="U27" i="8"/>
  <c r="J29" i="8"/>
  <c r="V27" i="8"/>
  <c r="T28" i="8"/>
  <c r="S28" i="8"/>
  <c r="P28" i="8" l="1"/>
  <c r="X27" i="8"/>
  <c r="Q28" i="8"/>
  <c r="L29" i="8"/>
  <c r="Y28" i="8"/>
  <c r="W28" i="8"/>
  <c r="Z28" i="8"/>
  <c r="N29" i="8"/>
  <c r="P29" i="8"/>
  <c r="Q29" i="8"/>
  <c r="U28" i="8"/>
  <c r="J30" i="8"/>
  <c r="M29" i="8"/>
  <c r="K30" i="8"/>
  <c r="S29" i="8"/>
  <c r="V28" i="8"/>
  <c r="T29" i="8"/>
  <c r="X28" i="8" l="1"/>
  <c r="O29" i="8"/>
  <c r="L30" i="8"/>
  <c r="Q30" i="8"/>
  <c r="N30" i="8"/>
  <c r="P30" i="8"/>
  <c r="Z29" i="8"/>
  <c r="Y29" i="8"/>
  <c r="W29" i="8"/>
  <c r="U29" i="8"/>
  <c r="K31" i="8"/>
  <c r="M30" i="8"/>
  <c r="J31" i="8"/>
  <c r="T30" i="8"/>
  <c r="V29" i="8"/>
  <c r="S30" i="8"/>
  <c r="X29" i="8" l="1"/>
  <c r="L31" i="8"/>
  <c r="O30" i="8"/>
  <c r="Y30" i="8"/>
  <c r="W30" i="8"/>
  <c r="N31" i="8"/>
  <c r="Q31" i="8"/>
  <c r="P31" i="8"/>
  <c r="U30" i="8"/>
  <c r="J32" i="8"/>
  <c r="L32" i="8" s="1"/>
  <c r="K32" i="8"/>
  <c r="M31" i="8"/>
  <c r="S31" i="8"/>
  <c r="V30" i="8"/>
  <c r="T31" i="8"/>
  <c r="X30" i="8" l="1"/>
  <c r="Z30" i="8"/>
  <c r="O31" i="8"/>
  <c r="P32" i="8"/>
  <c r="N32" i="8"/>
  <c r="Q32" i="8"/>
  <c r="Z31" i="8"/>
  <c r="Y31" i="8"/>
  <c r="W31" i="8"/>
  <c r="U31" i="8"/>
  <c r="K33" i="8"/>
  <c r="M32" i="8"/>
  <c r="J33" i="8"/>
  <c r="S32" i="8"/>
  <c r="T32" i="8"/>
  <c r="V31" i="8"/>
  <c r="X31" i="8" l="1"/>
  <c r="L33" i="8"/>
  <c r="O32" i="8"/>
  <c r="P33" i="8"/>
  <c r="N33" i="8"/>
  <c r="Q33" i="8"/>
  <c r="Z32" i="8"/>
  <c r="Y32" i="8"/>
  <c r="W32" i="8"/>
  <c r="J34" i="8"/>
  <c r="L34" i="8" s="1"/>
  <c r="U32" i="8"/>
  <c r="M33" i="8"/>
  <c r="K34" i="8"/>
  <c r="V32" i="8"/>
  <c r="T33" i="8"/>
  <c r="S33" i="8"/>
  <c r="X32" i="8" l="1"/>
  <c r="O33" i="8"/>
  <c r="W33" i="8"/>
  <c r="Y33" i="8"/>
  <c r="P34" i="8"/>
  <c r="N34" i="8"/>
  <c r="Q34" i="8"/>
  <c r="K35" i="8"/>
  <c r="M34" i="8"/>
  <c r="O34" i="8" s="1"/>
  <c r="U33" i="8"/>
  <c r="J35" i="8"/>
  <c r="L35" i="8" s="1"/>
  <c r="S34" i="8"/>
  <c r="T34" i="8"/>
  <c r="V33" i="8"/>
  <c r="X33" i="8" s="1"/>
  <c r="Z33" i="8" l="1"/>
  <c r="P35" i="8"/>
  <c r="N35" i="8"/>
  <c r="Q35" i="8"/>
  <c r="Z34" i="8"/>
  <c r="Y34" i="8"/>
  <c r="W34" i="8"/>
  <c r="U34" i="8"/>
  <c r="J36" i="8"/>
  <c r="L36" i="8" s="1"/>
  <c r="M35" i="8"/>
  <c r="O35" i="8" s="1"/>
  <c r="K36" i="8"/>
  <c r="T35" i="8"/>
  <c r="V34" i="8"/>
  <c r="X34" i="8" s="1"/>
  <c r="S35" i="8"/>
  <c r="Y35" i="8" l="1"/>
  <c r="Z35" i="8"/>
  <c r="W35" i="8"/>
  <c r="Q36" i="8"/>
  <c r="P36" i="8"/>
  <c r="N36" i="8"/>
  <c r="U35" i="8"/>
  <c r="M36" i="8"/>
  <c r="O36" i="8" s="1"/>
  <c r="K37" i="8"/>
  <c r="J37" i="8"/>
  <c r="L37" i="8" s="1"/>
  <c r="S36" i="8"/>
  <c r="T36" i="8"/>
  <c r="V35" i="8"/>
  <c r="X35" i="8" s="1"/>
  <c r="W36" i="8" l="1"/>
  <c r="Z36" i="8"/>
  <c r="Y36" i="8"/>
  <c r="Q37" i="8"/>
  <c r="N37" i="8"/>
  <c r="P37" i="8"/>
  <c r="J38" i="8"/>
  <c r="L38" i="8" s="1"/>
  <c r="M37" i="8"/>
  <c r="O37" i="8" s="1"/>
  <c r="K38" i="8"/>
  <c r="U36" i="8"/>
  <c r="T37" i="8"/>
  <c r="V36" i="8"/>
  <c r="X36" i="8" s="1"/>
  <c r="S37" i="8"/>
  <c r="Q38" i="8" l="1"/>
  <c r="N38" i="8"/>
  <c r="P38" i="8"/>
  <c r="Y37" i="8"/>
  <c r="Z37" i="8"/>
  <c r="W37" i="8"/>
  <c r="U37" i="8"/>
  <c r="M38" i="8"/>
  <c r="O38" i="8" s="1"/>
  <c r="K39" i="8"/>
  <c r="J39" i="8"/>
  <c r="L39" i="8" s="1"/>
  <c r="S38" i="8"/>
  <c r="V37" i="8"/>
  <c r="X37" i="8" s="1"/>
  <c r="T38" i="8"/>
  <c r="Q39" i="8" l="1"/>
  <c r="N39" i="8"/>
  <c r="P39" i="8"/>
  <c r="W38" i="8"/>
  <c r="Y38" i="8"/>
  <c r="Z38" i="8"/>
  <c r="M39" i="8"/>
  <c r="O39" i="8" s="1"/>
  <c r="K40" i="8"/>
  <c r="U38" i="8"/>
  <c r="J40" i="8"/>
  <c r="L40" i="8" s="1"/>
  <c r="T39" i="8"/>
  <c r="V38" i="8"/>
  <c r="X38" i="8" s="1"/>
  <c r="S39" i="8"/>
  <c r="W39" i="8" l="1"/>
  <c r="Z39" i="8"/>
  <c r="Y39" i="8"/>
  <c r="Q40" i="8"/>
  <c r="N40" i="8"/>
  <c r="P40" i="8"/>
  <c r="U39" i="8"/>
  <c r="M40" i="8"/>
  <c r="O40" i="8" s="1"/>
  <c r="K41" i="8"/>
  <c r="J41" i="8"/>
  <c r="L41" i="8" s="1"/>
  <c r="S40" i="8"/>
  <c r="V39" i="8"/>
  <c r="X39" i="8" s="1"/>
  <c r="T40" i="8"/>
  <c r="Q41" i="8" l="1"/>
  <c r="P41" i="8"/>
  <c r="N41" i="8"/>
  <c r="Z40" i="8"/>
  <c r="Y40" i="8"/>
  <c r="W40" i="8"/>
  <c r="J42" i="8"/>
  <c r="L42" i="8" s="1"/>
  <c r="M41" i="8"/>
  <c r="O41" i="8" s="1"/>
  <c r="K42" i="8"/>
  <c r="U40" i="8"/>
  <c r="T41" i="8"/>
  <c r="V40" i="8"/>
  <c r="X40" i="8" s="1"/>
  <c r="S41" i="8"/>
  <c r="Z41" i="8" l="1"/>
  <c r="W41" i="8"/>
  <c r="Y41" i="8"/>
  <c r="P42" i="8"/>
  <c r="Q42" i="8"/>
  <c r="N42" i="8"/>
  <c r="U41" i="8"/>
  <c r="M42" i="8"/>
  <c r="O42" i="8" s="1"/>
  <c r="K43" i="8"/>
  <c r="J43" i="8"/>
  <c r="L43" i="8" s="1"/>
  <c r="S42" i="8"/>
  <c r="V41" i="8"/>
  <c r="X41" i="8" s="1"/>
  <c r="T42" i="8"/>
  <c r="P43" i="8" l="1"/>
  <c r="Q43" i="8"/>
  <c r="N43" i="8"/>
  <c r="Z42" i="8"/>
  <c r="Y42" i="8"/>
  <c r="W42" i="8"/>
  <c r="U42" i="8"/>
  <c r="J44" i="8"/>
  <c r="L44" i="8" s="1"/>
  <c r="K44" i="8"/>
  <c r="M43" i="8"/>
  <c r="O43" i="8" s="1"/>
  <c r="T43" i="8"/>
  <c r="V42" i="8"/>
  <c r="X42" i="8" s="1"/>
  <c r="S43" i="8"/>
  <c r="Z43" i="8" l="1"/>
  <c r="W43" i="8"/>
  <c r="Y43" i="8"/>
  <c r="P44" i="8"/>
  <c r="N44" i="8"/>
  <c r="Q44" i="8"/>
  <c r="U43" i="8"/>
  <c r="M44" i="8"/>
  <c r="O44" i="8" s="1"/>
  <c r="K45" i="8"/>
  <c r="J45" i="8"/>
  <c r="L45" i="8" s="1"/>
  <c r="S44" i="8"/>
  <c r="T44" i="8"/>
  <c r="V43" i="8"/>
  <c r="X43" i="8" s="1"/>
  <c r="Y44" i="8" l="1"/>
  <c r="W44" i="8"/>
  <c r="Z44" i="8"/>
  <c r="P45" i="8"/>
  <c r="N45" i="8"/>
  <c r="Q45" i="8"/>
  <c r="K46" i="8"/>
  <c r="M45" i="8"/>
  <c r="O45" i="8" s="1"/>
  <c r="U44" i="8"/>
  <c r="J46" i="8"/>
  <c r="L46" i="8" s="1"/>
  <c r="T45" i="8"/>
  <c r="V44" i="8"/>
  <c r="X44" i="8" s="1"/>
  <c r="S45" i="8"/>
  <c r="Y45" i="8" l="1"/>
  <c r="W45" i="8"/>
  <c r="Z45" i="8"/>
  <c r="P46" i="8"/>
  <c r="Q46" i="8"/>
  <c r="N46" i="8"/>
  <c r="U45" i="8"/>
  <c r="J47" i="8"/>
  <c r="L47" i="8" s="1"/>
  <c r="M46" i="8"/>
  <c r="O46" i="8" s="1"/>
  <c r="K47" i="8"/>
  <c r="S46" i="8"/>
  <c r="V45" i="8"/>
  <c r="X45" i="8" s="1"/>
  <c r="T46" i="8"/>
  <c r="N47" i="8" l="1"/>
  <c r="P47" i="8"/>
  <c r="Q47" i="8"/>
  <c r="Y46" i="8"/>
  <c r="W46" i="8"/>
  <c r="Z46" i="8"/>
  <c r="U46" i="8"/>
  <c r="M47" i="8"/>
  <c r="O47" i="8" s="1"/>
  <c r="K48" i="8"/>
  <c r="J48" i="8"/>
  <c r="L48" i="8" s="1"/>
  <c r="T47" i="8"/>
  <c r="V46" i="8"/>
  <c r="X46" i="8" s="1"/>
  <c r="S47" i="8"/>
  <c r="Q48" i="8" l="1"/>
  <c r="N48" i="8"/>
  <c r="P48" i="8"/>
  <c r="Z47" i="8"/>
  <c r="W47" i="8"/>
  <c r="Y47" i="8"/>
  <c r="U47" i="8"/>
  <c r="J49" i="8"/>
  <c r="L49" i="8" s="1"/>
  <c r="M48" i="8"/>
  <c r="O48" i="8" s="1"/>
  <c r="K49" i="8"/>
  <c r="S48" i="8"/>
  <c r="V47" i="8"/>
  <c r="X47" i="8" s="1"/>
  <c r="T48" i="8"/>
  <c r="Q49" i="8" l="1"/>
  <c r="N49" i="8"/>
  <c r="P49" i="8"/>
  <c r="Z48" i="8"/>
  <c r="Y48" i="8"/>
  <c r="W48" i="8"/>
  <c r="U48" i="8"/>
  <c r="M49" i="8"/>
  <c r="O49" i="8" s="1"/>
  <c r="K50" i="8"/>
  <c r="J50" i="8"/>
  <c r="L50" i="8" s="1"/>
  <c r="S49" i="8"/>
  <c r="V48" i="8"/>
  <c r="X48" i="8" s="1"/>
  <c r="T49" i="8"/>
  <c r="Q50" i="8" l="1"/>
  <c r="P50" i="8"/>
  <c r="N50" i="8"/>
  <c r="Y49" i="8"/>
  <c r="Z49" i="8"/>
  <c r="W49" i="8"/>
  <c r="U49" i="8"/>
  <c r="J51" i="8"/>
  <c r="L51" i="8" s="1"/>
  <c r="M50" i="8"/>
  <c r="O50" i="8" s="1"/>
  <c r="K51" i="8"/>
  <c r="S50" i="8"/>
  <c r="T50" i="8"/>
  <c r="V49" i="8"/>
  <c r="X49" i="8" s="1"/>
  <c r="W50" i="8" l="1"/>
  <c r="Y50" i="8"/>
  <c r="Z50" i="8"/>
  <c r="N51" i="8"/>
  <c r="P51" i="8"/>
  <c r="Q51" i="8"/>
  <c r="M51" i="8"/>
  <c r="O51" i="8" s="1"/>
  <c r="K52" i="8"/>
  <c r="U50" i="8"/>
  <c r="J52" i="8"/>
  <c r="L52" i="8" s="1"/>
  <c r="V50" i="8"/>
  <c r="X50" i="8" s="1"/>
  <c r="T51" i="8"/>
  <c r="S51" i="8"/>
  <c r="W51" i="8" l="1"/>
  <c r="Y51" i="8"/>
  <c r="Z51" i="8"/>
  <c r="N52" i="8"/>
  <c r="P52" i="8"/>
  <c r="Q52" i="8"/>
  <c r="U51" i="8"/>
  <c r="M52" i="8"/>
  <c r="O52" i="8" s="1"/>
  <c r="K53" i="8"/>
  <c r="J53" i="8"/>
  <c r="L53" i="8" s="1"/>
  <c r="S52" i="8"/>
  <c r="T52" i="8"/>
  <c r="V51" i="8"/>
  <c r="X51" i="8" s="1"/>
  <c r="N53" i="8" l="1"/>
  <c r="P53" i="8"/>
  <c r="Q53" i="8"/>
  <c r="Y52" i="8"/>
  <c r="Z52" i="8"/>
  <c r="W52" i="8"/>
  <c r="J54" i="8"/>
  <c r="L54" i="8" s="1"/>
  <c r="M53" i="8"/>
  <c r="O53" i="8" s="1"/>
  <c r="K54" i="8"/>
  <c r="U52" i="8"/>
  <c r="V52" i="8"/>
  <c r="X52" i="8" s="1"/>
  <c r="T53" i="8"/>
  <c r="S53" i="8"/>
  <c r="Q54" i="8" l="1"/>
  <c r="N54" i="8"/>
  <c r="P54" i="8"/>
  <c r="Z53" i="8"/>
  <c r="Y53" i="8"/>
  <c r="W53" i="8"/>
  <c r="K55" i="8"/>
  <c r="M54" i="8"/>
  <c r="O54" i="8" s="1"/>
  <c r="U53" i="8"/>
  <c r="J55" i="8"/>
  <c r="L55" i="8" s="1"/>
  <c r="S54" i="8"/>
  <c r="T54" i="8"/>
  <c r="V53" i="8"/>
  <c r="X53" i="8" s="1"/>
  <c r="Z54" i="8" l="1"/>
  <c r="Y54" i="8"/>
  <c r="W54" i="8"/>
  <c r="Q55" i="8"/>
  <c r="N55" i="8"/>
  <c r="P55" i="8"/>
  <c r="U54" i="8"/>
  <c r="J56" i="8"/>
  <c r="L56" i="8" s="1"/>
  <c r="K56" i="8"/>
  <c r="M55" i="8"/>
  <c r="O55" i="8" s="1"/>
  <c r="T55" i="8"/>
  <c r="V54" i="8"/>
  <c r="X54" i="8" s="1"/>
  <c r="S55" i="8"/>
  <c r="Z55" i="8" l="1"/>
  <c r="W55" i="8"/>
  <c r="Y55" i="8"/>
  <c r="P56" i="8"/>
  <c r="N56" i="8"/>
  <c r="Q56" i="8"/>
  <c r="U55" i="8"/>
  <c r="M56" i="8"/>
  <c r="O56" i="8" s="1"/>
  <c r="K57" i="8"/>
  <c r="J57" i="8"/>
  <c r="L57" i="8" s="1"/>
  <c r="S56" i="8"/>
  <c r="T56" i="8"/>
  <c r="V55" i="8"/>
  <c r="X55" i="8" s="1"/>
  <c r="Y56" i="8" l="1"/>
  <c r="W56" i="8"/>
  <c r="Z56" i="8"/>
  <c r="P57" i="8"/>
  <c r="N57" i="8"/>
  <c r="Q57" i="8"/>
  <c r="J58" i="8"/>
  <c r="L58" i="8" s="1"/>
  <c r="U56" i="8"/>
  <c r="M57" i="8"/>
  <c r="O57" i="8" s="1"/>
  <c r="K58" i="8"/>
  <c r="T57" i="8"/>
  <c r="V56" i="8"/>
  <c r="X56" i="8" s="1"/>
  <c r="S57" i="8"/>
  <c r="W57" i="8" l="1"/>
  <c r="Y57" i="8"/>
  <c r="Z57" i="8"/>
  <c r="P58" i="8"/>
  <c r="Q58" i="8"/>
  <c r="N58" i="8"/>
  <c r="U57" i="8"/>
  <c r="M58" i="8"/>
  <c r="O58" i="8" s="1"/>
  <c r="K59" i="8"/>
  <c r="J59" i="8"/>
  <c r="L59" i="8" s="1"/>
  <c r="S58" i="8"/>
  <c r="T58" i="8"/>
  <c r="V57" i="8"/>
  <c r="X57" i="8" s="1"/>
  <c r="Y58" i="8" l="1"/>
  <c r="W58" i="8"/>
  <c r="Z58" i="8"/>
  <c r="N59" i="8"/>
  <c r="P59" i="8"/>
  <c r="Q59" i="8"/>
  <c r="U58" i="8"/>
  <c r="J60" i="8"/>
  <c r="L60" i="8" s="1"/>
  <c r="M59" i="8"/>
  <c r="O59" i="8" s="1"/>
  <c r="K60" i="8"/>
  <c r="T59" i="8"/>
  <c r="V58" i="8"/>
  <c r="X58" i="8" s="1"/>
  <c r="S59" i="8"/>
  <c r="Z59" i="8" l="1"/>
  <c r="Y59" i="8"/>
  <c r="W59" i="8"/>
  <c r="Q60" i="8"/>
  <c r="N60" i="8"/>
  <c r="P60" i="8"/>
  <c r="M60" i="8"/>
  <c r="O60" i="8" s="1"/>
  <c r="K61" i="8"/>
  <c r="U59" i="8"/>
  <c r="J61" i="8"/>
  <c r="L61" i="8" s="1"/>
  <c r="S60" i="8"/>
  <c r="V59" i="8"/>
  <c r="X59" i="8" s="1"/>
  <c r="T60" i="8"/>
  <c r="Q61" i="8" l="1"/>
  <c r="P61" i="8"/>
  <c r="N61" i="8"/>
  <c r="Y60" i="8"/>
  <c r="W60" i="8"/>
  <c r="Z60" i="8"/>
  <c r="U60" i="8"/>
  <c r="M61" i="8"/>
  <c r="O61" i="8" s="1"/>
  <c r="K62" i="8"/>
  <c r="J62" i="8"/>
  <c r="L62" i="8" s="1"/>
  <c r="V60" i="8"/>
  <c r="X60" i="8" s="1"/>
  <c r="T61" i="8"/>
  <c r="S61" i="8"/>
  <c r="Y61" i="8" l="1"/>
  <c r="W61" i="8"/>
  <c r="Z61" i="8"/>
  <c r="Q62" i="8"/>
  <c r="N62" i="8"/>
  <c r="P62" i="8"/>
  <c r="U61" i="8"/>
  <c r="M62" i="8"/>
  <c r="O62" i="8" s="1"/>
  <c r="K63" i="8"/>
  <c r="J63" i="8"/>
  <c r="L63" i="8" s="1"/>
  <c r="V61" i="8"/>
  <c r="X61" i="8" s="1"/>
  <c r="T62" i="8"/>
  <c r="S62" i="8"/>
  <c r="Q63" i="8" l="1"/>
  <c r="P63" i="8"/>
  <c r="N63" i="8"/>
  <c r="W62" i="8"/>
  <c r="Y62" i="8"/>
  <c r="Z62" i="8"/>
  <c r="U62" i="8"/>
  <c r="K64" i="8"/>
  <c r="M63" i="8"/>
  <c r="O63" i="8" s="1"/>
  <c r="J64" i="8"/>
  <c r="L64" i="8" s="1"/>
  <c r="S63" i="8"/>
  <c r="T63" i="8"/>
  <c r="V62" i="8"/>
  <c r="X62" i="8" s="1"/>
  <c r="W63" i="8" l="1"/>
  <c r="Z63" i="8"/>
  <c r="Y63" i="8"/>
  <c r="Q64" i="8"/>
  <c r="P64" i="8"/>
  <c r="N64" i="8"/>
  <c r="U63" i="8"/>
  <c r="J65" i="8"/>
  <c r="L65" i="8" s="1"/>
  <c r="M64" i="8"/>
  <c r="O64" i="8" s="1"/>
  <c r="K65" i="8"/>
  <c r="S64" i="8"/>
  <c r="V63" i="8"/>
  <c r="X63" i="8" s="1"/>
  <c r="T64" i="8"/>
  <c r="P65" i="8" l="1"/>
  <c r="N65" i="8"/>
  <c r="Q65" i="8"/>
  <c r="Z64" i="8"/>
  <c r="Y64" i="8"/>
  <c r="W64" i="8"/>
  <c r="U64" i="8"/>
  <c r="M65" i="8"/>
  <c r="O65" i="8" s="1"/>
  <c r="K66" i="8"/>
  <c r="J66" i="8"/>
  <c r="L66" i="8" s="1"/>
  <c r="T65" i="8"/>
  <c r="V64" i="8"/>
  <c r="X64" i="8" s="1"/>
  <c r="S65" i="8"/>
  <c r="N66" i="8" l="1"/>
  <c r="P66" i="8"/>
  <c r="Q66" i="8"/>
  <c r="Z65" i="8"/>
  <c r="Y65" i="8"/>
  <c r="W65" i="8"/>
  <c r="K67" i="8"/>
  <c r="M66" i="8"/>
  <c r="O66" i="8" s="1"/>
  <c r="U65" i="8"/>
  <c r="J67" i="8"/>
  <c r="L67" i="8" s="1"/>
  <c r="S66" i="8"/>
  <c r="V65" i="8"/>
  <c r="X65" i="8" s="1"/>
  <c r="T66" i="8"/>
  <c r="N67" i="8" l="1"/>
  <c r="P67" i="8"/>
  <c r="Q67" i="8"/>
  <c r="Z66" i="8"/>
  <c r="Y66" i="8"/>
  <c r="W66" i="8"/>
  <c r="U66" i="8"/>
  <c r="J68" i="8"/>
  <c r="L68" i="8" s="1"/>
  <c r="K68" i="8"/>
  <c r="M67" i="8"/>
  <c r="O67" i="8" s="1"/>
  <c r="T67" i="8"/>
  <c r="V66" i="8"/>
  <c r="X66" i="8" s="1"/>
  <c r="S67" i="8"/>
  <c r="Z67" i="8" l="1"/>
  <c r="Y67" i="8"/>
  <c r="W67" i="8"/>
  <c r="P68" i="8"/>
  <c r="N68" i="8"/>
  <c r="Q68" i="8"/>
  <c r="U67" i="8"/>
  <c r="K69" i="8"/>
  <c r="M68" i="8"/>
  <c r="O68" i="8" s="1"/>
  <c r="J69" i="8"/>
  <c r="L69" i="8" s="1"/>
  <c r="S68" i="8"/>
  <c r="V67" i="8"/>
  <c r="X67" i="8" s="1"/>
  <c r="T68" i="8"/>
  <c r="P69" i="8" l="1"/>
  <c r="N69" i="8"/>
  <c r="Q69" i="8"/>
  <c r="Z68" i="8"/>
  <c r="W68" i="8"/>
  <c r="Y68" i="8"/>
  <c r="U68" i="8"/>
  <c r="J70" i="8"/>
  <c r="L70" i="8" s="1"/>
  <c r="K70" i="8"/>
  <c r="M69" i="8"/>
  <c r="O69" i="8" s="1"/>
  <c r="T69" i="8"/>
  <c r="V68" i="8"/>
  <c r="X68" i="8" s="1"/>
  <c r="S69" i="8"/>
  <c r="P70" i="8" l="1"/>
  <c r="N70" i="8"/>
  <c r="Q70" i="8"/>
  <c r="W69" i="8"/>
  <c r="Z69" i="8"/>
  <c r="Y69" i="8"/>
  <c r="J71" i="8"/>
  <c r="L71" i="8" s="1"/>
  <c r="U69" i="8"/>
  <c r="K71" i="8"/>
  <c r="M70" i="8"/>
  <c r="O70" i="8" s="1"/>
  <c r="S70" i="8"/>
  <c r="T70" i="8"/>
  <c r="V69" i="8"/>
  <c r="X69" i="8" s="1"/>
  <c r="Q71" i="8" l="1"/>
  <c r="P71" i="8"/>
  <c r="N71" i="8"/>
  <c r="Y70" i="8"/>
  <c r="W70" i="8"/>
  <c r="Z70" i="8"/>
  <c r="U70" i="8"/>
  <c r="K72" i="8"/>
  <c r="M71" i="8"/>
  <c r="O71" i="8" s="1"/>
  <c r="J72" i="8"/>
  <c r="L72" i="8" s="1"/>
  <c r="V70" i="8"/>
  <c r="X70" i="8" s="1"/>
  <c r="T71" i="8"/>
  <c r="S71" i="8"/>
  <c r="Q72" i="8" l="1"/>
  <c r="P72" i="8"/>
  <c r="N72" i="8"/>
  <c r="Y71" i="8"/>
  <c r="W71" i="8"/>
  <c r="Z71" i="8"/>
  <c r="U71" i="8"/>
  <c r="J73" i="8"/>
  <c r="L73" i="8" s="1"/>
  <c r="M72" i="8"/>
  <c r="O72" i="8" s="1"/>
  <c r="K73" i="8"/>
  <c r="T72" i="8"/>
  <c r="V71" i="8"/>
  <c r="X71" i="8" s="1"/>
  <c r="S72" i="8"/>
  <c r="Y72" i="8" l="1"/>
  <c r="W72" i="8"/>
  <c r="Z72" i="8"/>
  <c r="Q73" i="8"/>
  <c r="N73" i="8"/>
  <c r="P73" i="8"/>
  <c r="U72" i="8"/>
  <c r="M73" i="8"/>
  <c r="O73" i="8" s="1"/>
  <c r="K74" i="8"/>
  <c r="J74" i="8"/>
  <c r="L74" i="8" s="1"/>
  <c r="S73" i="8"/>
  <c r="V72" i="8"/>
  <c r="X72" i="8" s="1"/>
  <c r="T73" i="8"/>
  <c r="Q74" i="8" l="1"/>
  <c r="N74" i="8"/>
  <c r="P74" i="8"/>
  <c r="Y73" i="8"/>
  <c r="Z73" i="8"/>
  <c r="W73" i="8"/>
  <c r="U73" i="8"/>
  <c r="J75" i="8"/>
  <c r="L75" i="8" s="1"/>
  <c r="K75" i="8"/>
  <c r="M74" i="8"/>
  <c r="O74" i="8" s="1"/>
  <c r="T74" i="8"/>
  <c r="V73" i="8"/>
  <c r="X73" i="8" s="1"/>
  <c r="S74" i="8"/>
  <c r="W74" i="8" l="1"/>
  <c r="Y74" i="8"/>
  <c r="Z74" i="8"/>
  <c r="Q75" i="8"/>
  <c r="N75" i="8"/>
  <c r="P75" i="8"/>
  <c r="K76" i="8"/>
  <c r="M75" i="8"/>
  <c r="O75" i="8" s="1"/>
  <c r="U74" i="8"/>
  <c r="J76" i="8"/>
  <c r="L76" i="8" s="1"/>
  <c r="S75" i="8"/>
  <c r="V74" i="8"/>
  <c r="X74" i="8" s="1"/>
  <c r="T75" i="8"/>
  <c r="N76" i="8" l="1"/>
  <c r="P76" i="8"/>
  <c r="Q76" i="8"/>
  <c r="W75" i="8"/>
  <c r="Y75" i="8"/>
  <c r="Z75" i="8"/>
  <c r="J77" i="8"/>
  <c r="L77" i="8" s="1"/>
  <c r="U75" i="8"/>
  <c r="K77" i="8"/>
  <c r="M76" i="8"/>
  <c r="O76" i="8" s="1"/>
  <c r="T76" i="8"/>
  <c r="V75" i="8"/>
  <c r="X75" i="8" s="1"/>
  <c r="S76" i="8"/>
  <c r="Y76" i="8" l="1"/>
  <c r="W76" i="8"/>
  <c r="Z76" i="8"/>
  <c r="Q77" i="8"/>
  <c r="P77" i="8"/>
  <c r="N77" i="8"/>
  <c r="U76" i="8"/>
  <c r="M77" i="8"/>
  <c r="O77" i="8" s="1"/>
  <c r="K78" i="8"/>
  <c r="J78" i="8"/>
  <c r="L78" i="8" s="1"/>
  <c r="S77" i="8"/>
  <c r="T77" i="8"/>
  <c r="V76" i="8"/>
  <c r="X76" i="8" s="1"/>
  <c r="Z77" i="8" l="1"/>
  <c r="W77" i="8"/>
  <c r="Y77" i="8"/>
  <c r="Q78" i="8"/>
  <c r="P78" i="8"/>
  <c r="N78" i="8"/>
  <c r="U77" i="8"/>
  <c r="J79" i="8"/>
  <c r="L79" i="8" s="1"/>
  <c r="M78" i="8"/>
  <c r="O78" i="8" s="1"/>
  <c r="K79" i="8"/>
  <c r="T78" i="8"/>
  <c r="V77" i="8"/>
  <c r="X77" i="8" s="1"/>
  <c r="S78" i="8"/>
  <c r="N79" i="8" l="1"/>
  <c r="Q79" i="8"/>
  <c r="P79" i="8"/>
  <c r="Z78" i="8"/>
  <c r="W78" i="8"/>
  <c r="Y78" i="8"/>
  <c r="U78" i="8"/>
  <c r="M79" i="8"/>
  <c r="O79" i="8" s="1"/>
  <c r="K80" i="8"/>
  <c r="J80" i="8"/>
  <c r="L80" i="8" s="1"/>
  <c r="S79" i="8"/>
  <c r="V78" i="8"/>
  <c r="X78" i="8" s="1"/>
  <c r="T79" i="8"/>
  <c r="P80" i="8" l="1"/>
  <c r="N80" i="8"/>
  <c r="Q80" i="8"/>
  <c r="Z79" i="8"/>
  <c r="Y79" i="8"/>
  <c r="W79" i="8"/>
  <c r="J81" i="8"/>
  <c r="L81" i="8" s="1"/>
  <c r="M80" i="8"/>
  <c r="O80" i="8" s="1"/>
  <c r="K81" i="8"/>
  <c r="U79" i="8"/>
  <c r="V79" i="8"/>
  <c r="X79" i="8" s="1"/>
  <c r="T80" i="8"/>
  <c r="S80" i="8"/>
  <c r="P81" i="8" l="1"/>
  <c r="N81" i="8"/>
  <c r="Q81" i="8"/>
  <c r="Z80" i="8"/>
  <c r="W80" i="8"/>
  <c r="Y80" i="8"/>
  <c r="U80" i="8"/>
  <c r="M81" i="8"/>
  <c r="O81" i="8" s="1"/>
  <c r="K82" i="8"/>
  <c r="J82" i="8"/>
  <c r="L82" i="8" s="1"/>
  <c r="S81" i="8"/>
  <c r="V80" i="8"/>
  <c r="X80" i="8" s="1"/>
  <c r="T81" i="8"/>
  <c r="P82" i="8" l="1"/>
  <c r="N82" i="8"/>
  <c r="Q82" i="8"/>
  <c r="Y81" i="8"/>
  <c r="Z81" i="8"/>
  <c r="W81" i="8"/>
  <c r="J83" i="8"/>
  <c r="L83" i="8" s="1"/>
  <c r="M82" i="8"/>
  <c r="O82" i="8" s="1"/>
  <c r="K83" i="8"/>
  <c r="U81" i="8"/>
  <c r="V81" i="8"/>
  <c r="X81" i="8" s="1"/>
  <c r="T82" i="8"/>
  <c r="S82" i="8"/>
  <c r="P83" i="8" l="1"/>
  <c r="N83" i="8"/>
  <c r="Q83" i="8"/>
  <c r="Z82" i="8"/>
  <c r="W82" i="8"/>
  <c r="Y82" i="8"/>
  <c r="U82" i="8"/>
  <c r="M83" i="8"/>
  <c r="O83" i="8" s="1"/>
  <c r="K84" i="8"/>
  <c r="J84" i="8"/>
  <c r="L84" i="8" s="1"/>
  <c r="S83" i="8"/>
  <c r="V82" i="8"/>
  <c r="X82" i="8" s="1"/>
  <c r="T83" i="8"/>
  <c r="Q84" i="8" l="1"/>
  <c r="P84" i="8"/>
  <c r="N84" i="8"/>
  <c r="W83" i="8"/>
  <c r="Z83" i="8"/>
  <c r="Y83" i="8"/>
  <c r="U83" i="8"/>
  <c r="J85" i="8"/>
  <c r="L85" i="8" s="1"/>
  <c r="M84" i="8"/>
  <c r="O84" i="8" s="1"/>
  <c r="K85" i="8"/>
  <c r="V83" i="8"/>
  <c r="X83" i="8" s="1"/>
  <c r="T84" i="8"/>
  <c r="S84" i="8"/>
  <c r="Q85" i="8" l="1"/>
  <c r="P85" i="8"/>
  <c r="N85" i="8"/>
  <c r="Y84" i="8"/>
  <c r="W84" i="8"/>
  <c r="Z84" i="8"/>
  <c r="U84" i="8"/>
  <c r="K86" i="8"/>
  <c r="M85" i="8"/>
  <c r="O85" i="8" s="1"/>
  <c r="J86" i="8"/>
  <c r="L86" i="8" s="1"/>
  <c r="S85" i="8"/>
  <c r="T85" i="8"/>
  <c r="V84" i="8"/>
  <c r="X84" i="8" s="1"/>
  <c r="Y85" i="8" l="1"/>
  <c r="W85" i="8"/>
  <c r="Z85" i="8"/>
  <c r="Q86" i="8"/>
  <c r="P86" i="8"/>
  <c r="N86" i="8"/>
  <c r="J87" i="8"/>
  <c r="L87" i="8" s="1"/>
  <c r="U85" i="8"/>
  <c r="K87" i="8"/>
  <c r="M86" i="8"/>
  <c r="O86" i="8" s="1"/>
  <c r="V85" i="8"/>
  <c r="X85" i="8" s="1"/>
  <c r="T86" i="8"/>
  <c r="S86" i="8"/>
  <c r="W86" i="8" l="1"/>
  <c r="Y86" i="8"/>
  <c r="Z86" i="8"/>
  <c r="Q87" i="8"/>
  <c r="N87" i="8"/>
  <c r="P87" i="8"/>
  <c r="U86" i="8"/>
  <c r="K88" i="8"/>
  <c r="M87" i="8"/>
  <c r="O87" i="8" s="1"/>
  <c r="J88" i="8"/>
  <c r="L88" i="8" s="1"/>
  <c r="S87" i="8"/>
  <c r="T87" i="8"/>
  <c r="V86" i="8"/>
  <c r="X86" i="8" s="1"/>
  <c r="N88" i="8" l="1"/>
  <c r="Q88" i="8"/>
  <c r="P88" i="8"/>
  <c r="W87" i="8"/>
  <c r="Y87" i="8"/>
  <c r="Z87" i="8"/>
  <c r="U87" i="8"/>
  <c r="J89" i="8"/>
  <c r="L89" i="8" s="1"/>
  <c r="K89" i="8"/>
  <c r="M88" i="8"/>
  <c r="O88" i="8" s="1"/>
  <c r="T88" i="8"/>
  <c r="V87" i="8"/>
  <c r="X87" i="8" s="1"/>
  <c r="S88" i="8"/>
  <c r="Y88" i="8" l="1"/>
  <c r="Z88" i="8"/>
  <c r="W88" i="8"/>
  <c r="Q89" i="8"/>
  <c r="P89" i="8"/>
  <c r="N89" i="8"/>
  <c r="U88" i="8"/>
  <c r="K90" i="8"/>
  <c r="M89" i="8"/>
  <c r="O89" i="8" s="1"/>
  <c r="J90" i="8"/>
  <c r="L90" i="8" s="1"/>
  <c r="S89" i="8"/>
  <c r="T89" i="8"/>
  <c r="V88" i="8"/>
  <c r="X88" i="8" s="1"/>
  <c r="N90" i="8" l="1"/>
  <c r="Q90" i="8"/>
  <c r="P90" i="8"/>
  <c r="Z89" i="8"/>
  <c r="Y89" i="8"/>
  <c r="W89" i="8"/>
  <c r="U89" i="8"/>
  <c r="J91" i="8"/>
  <c r="L91" i="8" s="1"/>
  <c r="M90" i="8"/>
  <c r="O90" i="8" s="1"/>
  <c r="K91" i="8"/>
  <c r="T90" i="8"/>
  <c r="V89" i="8"/>
  <c r="X89" i="8" s="1"/>
  <c r="S90" i="8"/>
  <c r="Z90" i="8" l="1"/>
  <c r="Y90" i="8"/>
  <c r="W90" i="8"/>
  <c r="Q91" i="8"/>
  <c r="P91" i="8"/>
  <c r="N91" i="8"/>
  <c r="M91" i="8"/>
  <c r="O91" i="8" s="1"/>
  <c r="K92" i="8"/>
  <c r="J92" i="8"/>
  <c r="L92" i="8" s="1"/>
  <c r="U90" i="8"/>
  <c r="S91" i="8"/>
  <c r="V90" i="8"/>
  <c r="X90" i="8" s="1"/>
  <c r="T91" i="8"/>
  <c r="P92" i="8" l="1"/>
  <c r="N92" i="8"/>
  <c r="Q92" i="8"/>
  <c r="Z91" i="8"/>
  <c r="W91" i="8"/>
  <c r="Y91" i="8"/>
  <c r="U91" i="8"/>
  <c r="J93" i="8"/>
  <c r="L93" i="8" s="1"/>
  <c r="M92" i="8"/>
  <c r="O92" i="8" s="1"/>
  <c r="K93" i="8"/>
  <c r="T92" i="8"/>
  <c r="V91" i="8"/>
  <c r="X91" i="8" s="1"/>
  <c r="S92" i="8"/>
  <c r="P93" i="8" l="1"/>
  <c r="N93" i="8"/>
  <c r="Q93" i="8"/>
  <c r="Y92" i="8"/>
  <c r="W92" i="8"/>
  <c r="Z92" i="8"/>
  <c r="U92" i="8"/>
  <c r="M93" i="8"/>
  <c r="O93" i="8" s="1"/>
  <c r="K94" i="8"/>
  <c r="J94" i="8"/>
  <c r="L94" i="8" s="1"/>
  <c r="S93" i="8"/>
  <c r="V92" i="8"/>
  <c r="X92" i="8" s="1"/>
  <c r="T93" i="8"/>
  <c r="P94" i="8" l="1"/>
  <c r="Q94" i="8"/>
  <c r="N94" i="8"/>
  <c r="Y93" i="8"/>
  <c r="W93" i="8"/>
  <c r="Z93" i="8"/>
  <c r="M94" i="8"/>
  <c r="O94" i="8" s="1"/>
  <c r="K95" i="8"/>
  <c r="U93" i="8"/>
  <c r="J95" i="8"/>
  <c r="L95" i="8" s="1"/>
  <c r="T94" i="8"/>
  <c r="V93" i="8"/>
  <c r="X93" i="8" s="1"/>
  <c r="S94" i="8"/>
  <c r="W94" i="8" l="1"/>
  <c r="Y94" i="8"/>
  <c r="Z94" i="8"/>
  <c r="N95" i="8"/>
  <c r="Q95" i="8"/>
  <c r="P95" i="8"/>
  <c r="J96" i="8"/>
  <c r="L96" i="8" s="1"/>
  <c r="M95" i="8"/>
  <c r="O95" i="8" s="1"/>
  <c r="K96" i="8"/>
  <c r="U94" i="8"/>
  <c r="S95" i="8"/>
  <c r="V94" i="8"/>
  <c r="X94" i="8" s="1"/>
  <c r="T95" i="8"/>
  <c r="Q96" i="8" l="1"/>
  <c r="N96" i="8"/>
  <c r="P96" i="8"/>
  <c r="Z95" i="8"/>
  <c r="Y95" i="8"/>
  <c r="W95" i="8"/>
  <c r="U95" i="8"/>
  <c r="M96" i="8"/>
  <c r="O96" i="8" s="1"/>
  <c r="K97" i="8"/>
  <c r="J97" i="8"/>
  <c r="L97" i="8" s="1"/>
  <c r="T96" i="8"/>
  <c r="V95" i="8"/>
  <c r="X95" i="8" s="1"/>
  <c r="S96" i="8"/>
  <c r="W96" i="8" l="1"/>
  <c r="Z96" i="8"/>
  <c r="Y96" i="8"/>
  <c r="Q97" i="8"/>
  <c r="N97" i="8"/>
  <c r="P97" i="8"/>
  <c r="U96" i="8"/>
  <c r="J98" i="8"/>
  <c r="L98" i="8" s="1"/>
  <c r="M97" i="8"/>
  <c r="O97" i="8" s="1"/>
  <c r="K98" i="8"/>
  <c r="S97" i="8"/>
  <c r="V96" i="8"/>
  <c r="X96" i="8" s="1"/>
  <c r="T97" i="8"/>
  <c r="Q98" i="8" l="1"/>
  <c r="P98" i="8"/>
  <c r="N98" i="8"/>
  <c r="Y97" i="8"/>
  <c r="W97" i="8"/>
  <c r="Z97" i="8"/>
  <c r="U97" i="8"/>
  <c r="M98" i="8"/>
  <c r="O98" i="8" s="1"/>
  <c r="K99" i="8"/>
  <c r="J99" i="8"/>
  <c r="L99" i="8" s="1"/>
  <c r="T98" i="8"/>
  <c r="V97" i="8"/>
  <c r="X97" i="8" s="1"/>
  <c r="S98" i="8"/>
  <c r="P99" i="8" l="1"/>
  <c r="Q99" i="8"/>
  <c r="N99" i="8"/>
  <c r="W98" i="8"/>
  <c r="Y98" i="8"/>
  <c r="Z98" i="8"/>
  <c r="U98" i="8"/>
  <c r="J100" i="8"/>
  <c r="L100" i="8" s="1"/>
  <c r="K100" i="8"/>
  <c r="M99" i="8"/>
  <c r="O99" i="8" s="1"/>
  <c r="S99" i="8"/>
  <c r="V98" i="8"/>
  <c r="X98" i="8" s="1"/>
  <c r="T99" i="8"/>
  <c r="P100" i="8" l="1"/>
  <c r="N100" i="8"/>
  <c r="Q100" i="8"/>
  <c r="W99" i="8"/>
  <c r="Z99" i="8"/>
  <c r="Y99" i="8"/>
  <c r="U99" i="8"/>
  <c r="K101" i="8"/>
  <c r="M100" i="8"/>
  <c r="O100" i="8" s="1"/>
  <c r="J101" i="8"/>
  <c r="L101" i="8" s="1"/>
  <c r="T100" i="8"/>
  <c r="V99" i="8"/>
  <c r="X99" i="8" s="1"/>
  <c r="S100" i="8"/>
  <c r="Y100" i="8" l="1"/>
  <c r="W100" i="8"/>
  <c r="Z100" i="8"/>
  <c r="N101" i="8"/>
  <c r="P101" i="8"/>
  <c r="Q101" i="8"/>
  <c r="U100" i="8"/>
  <c r="J102" i="8"/>
  <c r="L102" i="8" s="1"/>
  <c r="K102" i="8"/>
  <c r="M101" i="8"/>
  <c r="O101" i="8" s="1"/>
  <c r="S101" i="8"/>
  <c r="V100" i="8"/>
  <c r="X100" i="8" s="1"/>
  <c r="T101" i="8"/>
  <c r="Q102" i="8" l="1"/>
  <c r="N102" i="8"/>
  <c r="P102" i="8"/>
  <c r="Z101" i="8"/>
  <c r="W101" i="8"/>
  <c r="Y101" i="8"/>
  <c r="U101" i="8"/>
  <c r="K103" i="8"/>
  <c r="M102" i="8"/>
  <c r="O102" i="8" s="1"/>
  <c r="J103" i="8"/>
  <c r="L103" i="8" s="1"/>
  <c r="T102" i="8"/>
  <c r="V101" i="8"/>
  <c r="X101" i="8" s="1"/>
  <c r="S102" i="8"/>
  <c r="Z102" i="8" l="1"/>
  <c r="Y102" i="8"/>
  <c r="W102" i="8"/>
  <c r="M103" i="8"/>
  <c r="O103" i="8" s="1"/>
  <c r="Q103" i="8"/>
  <c r="N103" i="8"/>
  <c r="P103" i="8"/>
  <c r="F6" i="8"/>
  <c r="U102" i="8"/>
  <c r="S103" i="8"/>
  <c r="T103" i="8"/>
  <c r="V102" i="8"/>
  <c r="X102" i="8" s="1"/>
  <c r="V103" i="8" l="1"/>
  <c r="X103" i="8" s="1"/>
  <c r="F3" i="8" s="1"/>
  <c r="Z103" i="8"/>
  <c r="Y103" i="8"/>
  <c r="W103" i="8"/>
  <c r="C17" i="8"/>
  <c r="C16" i="8"/>
  <c r="U103" i="8"/>
</calcChain>
</file>

<file path=xl/sharedStrings.xml><?xml version="1.0" encoding="utf-8"?>
<sst xmlns="http://schemas.openxmlformats.org/spreadsheetml/2006/main" count="317" uniqueCount="138">
  <si>
    <t>Input</t>
  </si>
  <si>
    <t>Value</t>
  </si>
  <si>
    <t>Units / Notes</t>
  </si>
  <si>
    <t>Initial Investment</t>
  </si>
  <si>
    <t>Currency</t>
  </si>
  <si>
    <t>Target Value</t>
  </si>
  <si>
    <t>Periodic Return</t>
  </si>
  <si>
    <t>Decimal per period (e.g., 0.04 = 4%)</t>
  </si>
  <si>
    <t>Periods per Year</t>
  </si>
  <si>
    <t>e.g., 12 for monthly</t>
  </si>
  <si>
    <t>Outputs</t>
  </si>
  <si>
    <t>Years Needed</t>
  </si>
  <si>
    <t>Bond Price</t>
  </si>
  <si>
    <t>Menu</t>
  </si>
  <si>
    <t>Nominal</t>
  </si>
  <si>
    <t>Time to maturity</t>
  </si>
  <si>
    <t>Coupon Yield</t>
  </si>
  <si>
    <t>nb coupon payments PA</t>
  </si>
  <si>
    <t>Coupon amount</t>
  </si>
  <si>
    <t>Callable</t>
  </si>
  <si>
    <t>No</t>
  </si>
  <si>
    <t>Time t</t>
  </si>
  <si>
    <t>Coupon</t>
  </si>
  <si>
    <t xml:space="preserve">DF </t>
  </si>
  <si>
    <t>Period n</t>
  </si>
  <si>
    <t>NPV</t>
  </si>
  <si>
    <t>Interest Rate</t>
  </si>
  <si>
    <t>Interest Rate Flat</t>
  </si>
  <si>
    <t>Annual rates</t>
  </si>
  <si>
    <t>Summary for Bond Prices</t>
  </si>
  <si>
    <t>Annual interest</t>
  </si>
  <si>
    <t>Bond Pricing</t>
  </si>
  <si>
    <t>Other Info</t>
  </si>
  <si>
    <t>Effective Duration</t>
  </si>
  <si>
    <t>Basis points change</t>
  </si>
  <si>
    <t>PV_+</t>
  </si>
  <si>
    <t>PV_-</t>
  </si>
  <si>
    <t>Custom Rates Bond</t>
  </si>
  <si>
    <t>Annual Rates Bond</t>
  </si>
  <si>
    <t>ECL Formula</t>
  </si>
  <si>
    <t>ECL</t>
  </si>
  <si>
    <t>EAD</t>
  </si>
  <si>
    <t>PD</t>
  </si>
  <si>
    <t>LGD</t>
  </si>
  <si>
    <t>PV +</t>
  </si>
  <si>
    <t>PV -</t>
  </si>
  <si>
    <t xml:space="preserve"> </t>
  </si>
  <si>
    <t>Summary for variable rates</t>
  </si>
  <si>
    <t>FUTURES AND FORWARDS</t>
  </si>
  <si>
    <t>Payment along the way:</t>
  </si>
  <si>
    <t>Long Forward Contract:   V(t,T) = S(T) - F(t,T)</t>
  </si>
  <si>
    <t>Stuðlar</t>
  </si>
  <si>
    <t>Fully leveraged purchase:   F(t,T) = S(t)*exp(R(t,T)*(T-t))</t>
  </si>
  <si>
    <t>Fair price for a forward contract:   F(t,T) = S(t)*exp(R(t-T)*(T-t))</t>
  </si>
  <si>
    <t>Fair price for a forward contract: F(t,T) = S(t)/D(t)</t>
  </si>
  <si>
    <t>Forward rates :   exp(R(t,Tc)(Tc-t))exp(F(t,Tc,T)(T-Tc)) = exp(R(t,T)(T-t)</t>
  </si>
  <si>
    <t>Fair price for a forward contract:   F(t,T) = (S(t)-PV(Cc))exp(R(t,T)(T-t))</t>
  </si>
  <si>
    <t>Loan price:  L(t,Tc) = S(t)exp(T(t,Tc)(Tc-t))-Cc</t>
  </si>
  <si>
    <t>Loan rates:  L(t,Tc,T) = L(t,Tc)exp(F(t,Tc,T)(T-Tc)</t>
  </si>
  <si>
    <t>Price of the asset at future time T: S(T)</t>
  </si>
  <si>
    <t>Forward price F(t,T):</t>
  </si>
  <si>
    <t>Rate for maturity R(t,T):</t>
  </si>
  <si>
    <t>R(t,Tc):</t>
  </si>
  <si>
    <t>C:</t>
  </si>
  <si>
    <t>S(t):</t>
  </si>
  <si>
    <t>L(t,Tc,T):</t>
  </si>
  <si>
    <t>Forward contract price at time T: F(t,T)</t>
  </si>
  <si>
    <t>Present price S(t):</t>
  </si>
  <si>
    <t>Maturity T:</t>
  </si>
  <si>
    <t>F(t,Tc,T):</t>
  </si>
  <si>
    <t>Tc:</t>
  </si>
  <si>
    <t>L(t,Tc):</t>
  </si>
  <si>
    <t>Value of the long forward contract: V(t,T)</t>
  </si>
  <si>
    <t>Rate for maturity R(t-T):</t>
  </si>
  <si>
    <t>Present time t:</t>
  </si>
  <si>
    <t>R(t,T):</t>
  </si>
  <si>
    <t>t:</t>
  </si>
  <si>
    <t>T:</t>
  </si>
  <si>
    <t>PV(Cc):</t>
  </si>
  <si>
    <t>Cc:</t>
  </si>
  <si>
    <t>Discount rate D(t,T):</t>
  </si>
  <si>
    <t>F(t,T):</t>
  </si>
  <si>
    <t>Total profit if F(t,T) &gt; S(t):</t>
  </si>
  <si>
    <t xml:space="preserve">P(T) = F(t,T) - S(t)*exp(R(T-t)*(T-t)) = </t>
  </si>
  <si>
    <t>Total profit if F(t,T) &lt; S(t):</t>
  </si>
  <si>
    <t xml:space="preserve">P(T) = S(t)*exp(R(T-t)*(T-t)) - F(t,T) = </t>
  </si>
  <si>
    <t>Number of Periods</t>
  </si>
  <si>
    <t>Contract Types</t>
  </si>
  <si>
    <t>Slang</t>
  </si>
  <si>
    <t>Short Call</t>
  </si>
  <si>
    <t>Short Put</t>
  </si>
  <si>
    <t>Short Forward</t>
  </si>
  <si>
    <t>Future</t>
  </si>
  <si>
    <t>Short Future</t>
  </si>
  <si>
    <t>LC</t>
  </si>
  <si>
    <t>SP</t>
  </si>
  <si>
    <t>Call Option (Long)</t>
  </si>
  <si>
    <t>SC</t>
  </si>
  <si>
    <t>LP</t>
  </si>
  <si>
    <t>Put Option (Long)</t>
  </si>
  <si>
    <t>Forward (Long)</t>
  </si>
  <si>
    <t>SF</t>
  </si>
  <si>
    <t>FU</t>
  </si>
  <si>
    <t>SFU</t>
  </si>
  <si>
    <t>Contract Type</t>
  </si>
  <si>
    <t>Strike/Forward price K</t>
  </si>
  <si>
    <t>Quantity</t>
  </si>
  <si>
    <t>Premium</t>
  </si>
  <si>
    <t>Contracts (input)</t>
  </si>
  <si>
    <t>LF</t>
  </si>
  <si>
    <t>Stock Price</t>
  </si>
  <si>
    <t>Contract ID</t>
  </si>
  <si>
    <t>Contract 1</t>
  </si>
  <si>
    <t>Contract 2</t>
  </si>
  <si>
    <t>Contract 3</t>
  </si>
  <si>
    <t>Contract 4</t>
  </si>
  <si>
    <t>Contract 5</t>
  </si>
  <si>
    <t>Contract 6</t>
  </si>
  <si>
    <t>Contract 7</t>
  </si>
  <si>
    <t>Contract 8</t>
  </si>
  <si>
    <t>Contract 9</t>
  </si>
  <si>
    <t>Contract 10</t>
  </si>
  <si>
    <t>Contract 11</t>
  </si>
  <si>
    <t>Contract 12</t>
  </si>
  <si>
    <t>Contract 13</t>
  </si>
  <si>
    <t>Contract 14</t>
  </si>
  <si>
    <t>Contract 15</t>
  </si>
  <si>
    <t>Contract 16</t>
  </si>
  <si>
    <t>Contract 17</t>
  </si>
  <si>
    <t>Contract 18</t>
  </si>
  <si>
    <t>Contract 19</t>
  </si>
  <si>
    <t>Contract 20</t>
  </si>
  <si>
    <t>Plot Options</t>
  </si>
  <si>
    <t>Starting y</t>
  </si>
  <si>
    <t>End y</t>
  </si>
  <si>
    <t>Starting x</t>
  </si>
  <si>
    <t>Ending x</t>
  </si>
  <si>
    <t>Increments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</si>
</sst>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(* #,##0_);_(* \(#,##0\);_(* &quot;-&quot;_);_(@_)"/>
    <numFmt numFmtId="43" formatCode="_(* #,##0.00_);_(* \(#,##0.00\);_(* &quot;-&quot;??_);_(@_)"/>
    <numFmt numFmtId="164" formatCode="0.000%"/>
    <numFmt numFmtId="165" formatCode="0.0000%"/>
    <numFmt numFmtId="166" formatCode="#,##0\ &quot;bpts&quot;"/>
    <numFmt numFmtId="167" formatCode="0.0%"/>
    <numFmt numFmtId="168" formatCode="_(* #,##0.00000_);_(* \(#,##0.00000\);_(* &quot;-&quot;??_);_(@_)"/>
    <numFmt numFmtId="169" formatCode="0.000"/>
    <numFmt numFmtId="170" formatCode="0.0000"/>
    <numFmt numFmtId="171" formatCode="_-* #,##0.000_-;\-* #,##0.000_-;_-* &quot;-&quot;_-;_-@_-"/>
    <numFmt numFmtId="172" formatCode="_-* #,##0_-;\-* #,##0_-;_-* &quot;-&quot;_-;_-@_-"/>
    <numFmt numFmtId="173" formatCode="0.0"/>
  </numFmts>
  <fonts count="1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3" tint="0.249977111117893"/>
      <name val="Aptos Narrow"/>
      <family val="2"/>
      <scheme val="minor"/>
    </font>
    <font>
      <b/>
      <sz val="12"/>
      <color theme="3" tint="0.89999084444715716"/>
      <name val="Aptos Narrow"/>
      <family val="2"/>
      <scheme val="minor"/>
    </font>
    <font>
      <sz val="12"/>
      <color theme="3" tint="0.89999084444715716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2"/>
      <color rgb="FFDCDDDF"/>
      <name val="Aptos Narrow"/>
      <scheme val="minor"/>
    </font>
    <font>
      <sz val="8"/>
      <name val="Aptos Narrow"/>
      <family val="2"/>
      <scheme val="minor"/>
    </font>
    <font>
      <sz val="12"/>
      <color rgb="FFDCDDDF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2C3E50"/>
        <bgColor indexed="64"/>
      </patternFill>
    </fill>
    <fill>
      <patternFill patternType="solid">
        <fgColor rgb="FFDCDDDF"/>
        <bgColor indexed="64"/>
      </patternFill>
    </fill>
    <fill>
      <patternFill patternType="solid">
        <fgColor rgb="FF81B9E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34495E"/>
        <bgColor indexed="64"/>
      </patternFill>
    </fill>
    <fill>
      <patternFill patternType="solid">
        <fgColor rgb="FFE84B3B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87">
    <xf numFmtId="0" fontId="0" fillId="0" borderId="0" xfId="0"/>
    <xf numFmtId="0" fontId="2" fillId="2" borderId="4" xfId="0" applyFont="1" applyFill="1" applyBorder="1"/>
    <xf numFmtId="0" fontId="0" fillId="0" borderId="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2" fillId="2" borderId="5" xfId="0" applyFont="1" applyFill="1" applyBorder="1"/>
    <xf numFmtId="165" fontId="0" fillId="0" borderId="4" xfId="0" applyNumberFormat="1" applyBorder="1" applyAlignment="1">
      <alignment horizontal="center" vertical="center"/>
    </xf>
    <xf numFmtId="165" fontId="0" fillId="0" borderId="4" xfId="1" applyNumberFormat="1" applyFont="1" applyBorder="1" applyAlignment="1">
      <alignment horizontal="center" vertical="center"/>
    </xf>
    <xf numFmtId="10" fontId="0" fillId="0" borderId="0" xfId="1" applyNumberFormat="1" applyFont="1"/>
    <xf numFmtId="43" fontId="0" fillId="0" borderId="4" xfId="2" applyFont="1" applyBorder="1" applyAlignment="1">
      <alignment horizontal="center" vertical="center"/>
    </xf>
    <xf numFmtId="168" fontId="0" fillId="0" borderId="4" xfId="2" applyNumberFormat="1" applyFont="1" applyBorder="1" applyAlignment="1">
      <alignment horizontal="center" vertical="center"/>
    </xf>
    <xf numFmtId="169" fontId="0" fillId="4" borderId="4" xfId="0" applyNumberFormat="1" applyFill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7" fontId="0" fillId="0" borderId="4" xfId="1" applyNumberFormat="1" applyFont="1" applyBorder="1" applyAlignment="1">
      <alignment horizontal="center" vertical="center"/>
    </xf>
    <xf numFmtId="43" fontId="0" fillId="4" borderId="4" xfId="2" applyFont="1" applyFill="1" applyBorder="1" applyAlignment="1">
      <alignment horizontal="center" vertical="center"/>
    </xf>
    <xf numFmtId="170" fontId="0" fillId="4" borderId="4" xfId="0" applyNumberForma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1" fontId="0" fillId="0" borderId="0" xfId="0" applyNumberFormat="1"/>
    <xf numFmtId="1" fontId="5" fillId="0" borderId="0" xfId="0" applyNumberFormat="1" applyFont="1"/>
    <xf numFmtId="1" fontId="7" fillId="0" borderId="0" xfId="0" applyNumberFormat="1" applyFont="1" applyAlignment="1">
      <alignment horizontal="center"/>
    </xf>
    <xf numFmtId="1" fontId="7" fillId="0" borderId="0" xfId="0" applyNumberFormat="1" applyFont="1"/>
    <xf numFmtId="171" fontId="0" fillId="6" borderId="13" xfId="3" applyNumberFormat="1" applyFont="1" applyFill="1" applyBorder="1" applyAlignment="1">
      <alignment vertical="center"/>
    </xf>
    <xf numFmtId="172" fontId="0" fillId="6" borderId="14" xfId="3" applyNumberFormat="1" applyFont="1" applyFill="1" applyBorder="1" applyAlignment="1">
      <alignment horizontal="center"/>
    </xf>
    <xf numFmtId="171" fontId="5" fillId="6" borderId="14" xfId="3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71" fontId="5" fillId="6" borderId="14" xfId="3" applyNumberFormat="1" applyFont="1" applyFill="1" applyBorder="1"/>
    <xf numFmtId="1" fontId="0" fillId="6" borderId="15" xfId="0" applyNumberFormat="1" applyFill="1" applyBorder="1" applyAlignment="1">
      <alignment horizontal="left"/>
    </xf>
    <xf numFmtId="171" fontId="0" fillId="6" borderId="14" xfId="3" applyNumberFormat="1" applyFont="1" applyFill="1" applyBorder="1" applyAlignment="1">
      <alignment horizontal="center"/>
    </xf>
    <xf numFmtId="1" fontId="5" fillId="6" borderId="15" xfId="0" applyNumberFormat="1" applyFont="1" applyFill="1" applyBorder="1" applyAlignment="1">
      <alignment horizontal="center"/>
    </xf>
    <xf numFmtId="1" fontId="0" fillId="6" borderId="15" xfId="0" applyNumberFormat="1" applyFill="1" applyBorder="1"/>
    <xf numFmtId="169" fontId="0" fillId="6" borderId="14" xfId="0" applyNumberFormat="1" applyFill="1" applyBorder="1"/>
    <xf numFmtId="1" fontId="0" fillId="6" borderId="16" xfId="0" applyNumberFormat="1" applyFill="1" applyBorder="1"/>
    <xf numFmtId="1" fontId="5" fillId="6" borderId="15" xfId="0" applyNumberFormat="1" applyFont="1" applyFill="1" applyBorder="1"/>
    <xf numFmtId="169" fontId="5" fillId="6" borderId="10" xfId="0" applyNumberFormat="1" applyFont="1" applyFill="1" applyBorder="1"/>
    <xf numFmtId="171" fontId="0" fillId="8" borderId="19" xfId="3" applyNumberFormat="1" applyFont="1" applyFill="1" applyBorder="1" applyAlignment="1">
      <alignment vertical="center"/>
    </xf>
    <xf numFmtId="172" fontId="0" fillId="8" borderId="14" xfId="3" applyNumberFormat="1" applyFont="1" applyFill="1" applyBorder="1" applyAlignment="1">
      <alignment horizontal="center"/>
    </xf>
    <xf numFmtId="171" fontId="0" fillId="8" borderId="14" xfId="3" applyNumberFormat="1" applyFont="1" applyFill="1" applyBorder="1" applyAlignment="1">
      <alignment horizontal="center"/>
    </xf>
    <xf numFmtId="171" fontId="0" fillId="8" borderId="14" xfId="3" applyNumberFormat="1" applyFont="1" applyFill="1" applyBorder="1"/>
    <xf numFmtId="1" fontId="0" fillId="8" borderId="16" xfId="0" applyNumberFormat="1" applyFill="1" applyBorder="1" applyAlignment="1">
      <alignment horizontal="left"/>
    </xf>
    <xf numFmtId="1" fontId="0" fillId="8" borderId="16" xfId="0" applyNumberFormat="1" applyFill="1" applyBorder="1" applyAlignment="1">
      <alignment horizontal="center"/>
    </xf>
    <xf numFmtId="1" fontId="0" fillId="8" borderId="16" xfId="0" applyNumberFormat="1" applyFill="1" applyBorder="1"/>
    <xf numFmtId="169" fontId="0" fillId="8" borderId="14" xfId="0" applyNumberFormat="1" applyFill="1" applyBorder="1"/>
    <xf numFmtId="171" fontId="5" fillId="6" borderId="23" xfId="3" applyNumberFormat="1" applyFont="1" applyFill="1" applyBorder="1" applyAlignment="1">
      <alignment vertical="center"/>
    </xf>
    <xf numFmtId="172" fontId="0" fillId="6" borderId="24" xfId="3" applyNumberFormat="1" applyFont="1" applyFill="1" applyBorder="1" applyAlignment="1">
      <alignment horizontal="center"/>
    </xf>
    <xf numFmtId="171" fontId="0" fillId="6" borderId="14" xfId="3" applyNumberFormat="1" applyFont="1" applyFill="1" applyBorder="1"/>
    <xf numFmtId="1" fontId="0" fillId="6" borderId="25" xfId="0" applyNumberFormat="1" applyFill="1" applyBorder="1" applyAlignment="1">
      <alignment horizontal="left"/>
    </xf>
    <xf numFmtId="171" fontId="0" fillId="6" borderId="24" xfId="3" applyNumberFormat="1" applyFont="1" applyFill="1" applyBorder="1" applyAlignment="1">
      <alignment horizontal="center"/>
    </xf>
    <xf numFmtId="1" fontId="0" fillId="6" borderId="16" xfId="0" applyNumberFormat="1" applyFill="1" applyBorder="1" applyAlignment="1">
      <alignment horizontal="center"/>
    </xf>
    <xf numFmtId="171" fontId="0" fillId="0" borderId="0" xfId="3" applyNumberFormat="1" applyFont="1" applyAlignment="1">
      <alignment vertical="center"/>
    </xf>
    <xf numFmtId="172" fontId="0" fillId="0" borderId="0" xfId="3" applyNumberFormat="1" applyFont="1"/>
    <xf numFmtId="171" fontId="0" fillId="0" borderId="0" xfId="3" applyNumberFormat="1" applyFont="1"/>
    <xf numFmtId="172" fontId="0" fillId="6" borderId="26" xfId="3" applyNumberFormat="1" applyFont="1" applyFill="1" applyBorder="1" applyAlignment="1">
      <alignment horizontal="center"/>
    </xf>
    <xf numFmtId="171" fontId="0" fillId="6" borderId="24" xfId="3" applyNumberFormat="1" applyFont="1" applyFill="1" applyBorder="1"/>
    <xf numFmtId="1" fontId="5" fillId="6" borderId="15" xfId="0" applyNumberFormat="1" applyFont="1" applyFill="1" applyBorder="1" applyAlignment="1">
      <alignment horizontal="left"/>
    </xf>
    <xf numFmtId="171" fontId="5" fillId="6" borderId="10" xfId="3" applyNumberFormat="1" applyFont="1" applyFill="1" applyBorder="1" applyAlignment="1">
      <alignment horizontal="center"/>
    </xf>
    <xf numFmtId="1" fontId="5" fillId="6" borderId="25" xfId="0" applyNumberFormat="1" applyFont="1" applyFill="1" applyBorder="1"/>
    <xf numFmtId="169" fontId="5" fillId="6" borderId="24" xfId="0" applyNumberFormat="1" applyFont="1" applyFill="1" applyBorder="1"/>
    <xf numFmtId="1" fontId="0" fillId="6" borderId="25" xfId="0" applyNumberFormat="1" applyFill="1" applyBorder="1"/>
    <xf numFmtId="169" fontId="0" fillId="6" borderId="24" xfId="0" applyNumberFormat="1" applyFill="1" applyBorder="1"/>
    <xf numFmtId="171" fontId="5" fillId="8" borderId="19" xfId="3" applyNumberFormat="1" applyFont="1" applyFill="1" applyBorder="1" applyAlignment="1">
      <alignment vertical="center"/>
    </xf>
    <xf numFmtId="172" fontId="0" fillId="8" borderId="27" xfId="3" applyNumberFormat="1" applyFont="1" applyFill="1" applyBorder="1" applyAlignment="1">
      <alignment horizontal="center"/>
    </xf>
    <xf numFmtId="171" fontId="0" fillId="0" borderId="0" xfId="3" applyNumberFormat="1" applyFont="1" applyAlignment="1">
      <alignment horizontal="center"/>
    </xf>
    <xf numFmtId="1" fontId="0" fillId="8" borderId="25" xfId="0" applyNumberFormat="1" applyFill="1" applyBorder="1" applyAlignment="1">
      <alignment horizontal="center"/>
    </xf>
    <xf numFmtId="171" fontId="0" fillId="8" borderId="24" xfId="3" applyNumberFormat="1" applyFont="1" applyFill="1" applyBorder="1" applyAlignment="1">
      <alignment horizontal="center"/>
    </xf>
    <xf numFmtId="1" fontId="5" fillId="8" borderId="25" xfId="0" applyNumberFormat="1" applyFont="1" applyFill="1" applyBorder="1"/>
    <xf numFmtId="169" fontId="5" fillId="8" borderId="24" xfId="0" applyNumberFormat="1" applyFont="1" applyFill="1" applyBorder="1"/>
    <xf numFmtId="171" fontId="0" fillId="6" borderId="23" xfId="3" applyNumberFormat="1" applyFont="1" applyFill="1" applyBorder="1" applyAlignment="1">
      <alignment vertical="center"/>
    </xf>
    <xf numFmtId="172" fontId="0" fillId="6" borderId="28" xfId="3" applyNumberFormat="1" applyFont="1" applyFill="1" applyBorder="1" applyAlignment="1">
      <alignment horizontal="center"/>
    </xf>
    <xf numFmtId="171" fontId="0" fillId="6" borderId="10" xfId="3" applyNumberFormat="1" applyFont="1" applyFill="1" applyBorder="1" applyAlignment="1">
      <alignment horizontal="center"/>
    </xf>
    <xf numFmtId="171" fontId="0" fillId="6" borderId="10" xfId="3" applyNumberFormat="1" applyFont="1" applyFill="1" applyBorder="1"/>
    <xf numFmtId="169" fontId="0" fillId="6" borderId="10" xfId="0" applyNumberFormat="1" applyFill="1" applyBorder="1"/>
    <xf numFmtId="171" fontId="5" fillId="8" borderId="14" xfId="3" applyNumberFormat="1" applyFont="1" applyFill="1" applyBorder="1" applyAlignment="1">
      <alignment horizontal="center"/>
    </xf>
    <xf numFmtId="171" fontId="5" fillId="8" borderId="14" xfId="3" applyNumberFormat="1" applyFont="1" applyFill="1" applyBorder="1"/>
    <xf numFmtId="1" fontId="0" fillId="6" borderId="15" xfId="0" applyNumberFormat="1" applyFill="1" applyBorder="1" applyAlignment="1">
      <alignment horizontal="center"/>
    </xf>
    <xf numFmtId="1" fontId="5" fillId="8" borderId="16" xfId="0" applyNumberFormat="1" applyFont="1" applyFill="1" applyBorder="1"/>
    <xf numFmtId="169" fontId="5" fillId="8" borderId="14" xfId="0" applyNumberFormat="1" applyFont="1" applyFill="1" applyBorder="1"/>
    <xf numFmtId="171" fontId="5" fillId="6" borderId="13" xfId="3" applyNumberFormat="1" applyFont="1" applyFill="1" applyBorder="1" applyAlignment="1">
      <alignment vertical="center"/>
    </xf>
    <xf numFmtId="1" fontId="5" fillId="8" borderId="16" xfId="0" applyNumberFormat="1" applyFont="1" applyFill="1" applyBorder="1" applyAlignment="1">
      <alignment horizontal="center"/>
    </xf>
    <xf numFmtId="1" fontId="5" fillId="8" borderId="16" xfId="0" applyNumberFormat="1" applyFont="1" applyFill="1" applyBorder="1" applyAlignment="1">
      <alignment horizontal="left"/>
    </xf>
    <xf numFmtId="1" fontId="0" fillId="8" borderId="25" xfId="0" applyNumberFormat="1" applyFill="1" applyBorder="1"/>
    <xf numFmtId="1" fontId="0" fillId="8" borderId="24" xfId="0" applyNumberFormat="1" applyFill="1" applyBorder="1"/>
    <xf numFmtId="169" fontId="0" fillId="8" borderId="24" xfId="0" applyNumberFormat="1" applyFill="1" applyBorder="1"/>
    <xf numFmtId="1" fontId="5" fillId="6" borderId="25" xfId="0" applyNumberFormat="1" applyFont="1" applyFill="1" applyBorder="1" applyAlignment="1">
      <alignment horizontal="left"/>
    </xf>
    <xf numFmtId="171" fontId="5" fillId="6" borderId="24" xfId="3" applyNumberFormat="1" applyFont="1" applyFill="1" applyBorder="1" applyAlignment="1">
      <alignment horizontal="center"/>
    </xf>
    <xf numFmtId="1" fontId="5" fillId="6" borderId="16" xfId="0" applyNumberFormat="1" applyFont="1" applyFill="1" applyBorder="1"/>
    <xf numFmtId="169" fontId="5" fillId="6" borderId="14" xfId="0" applyNumberFormat="1" applyFont="1" applyFill="1" applyBorder="1"/>
    <xf numFmtId="1" fontId="5" fillId="6" borderId="16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71" fontId="5" fillId="6" borderId="24" xfId="3" applyNumberFormat="1" applyFont="1" applyFill="1" applyBorder="1"/>
    <xf numFmtId="1" fontId="0" fillId="6" borderId="14" xfId="0" applyNumberFormat="1" applyFill="1" applyBorder="1"/>
    <xf numFmtId="1" fontId="8" fillId="2" borderId="8" xfId="0" applyNumberFormat="1" applyFont="1" applyFill="1" applyBorder="1" applyAlignment="1">
      <alignment horizontal="center"/>
    </xf>
    <xf numFmtId="1" fontId="8" fillId="2" borderId="26" xfId="0" applyNumberFormat="1" applyFont="1" applyFill="1" applyBorder="1" applyAlignment="1">
      <alignment horizontal="center"/>
    </xf>
    <xf numFmtId="1" fontId="10" fillId="8" borderId="16" xfId="0" applyNumberFormat="1" applyFont="1" applyFill="1" applyBorder="1" applyAlignment="1">
      <alignment horizontal="left"/>
    </xf>
    <xf numFmtId="1" fontId="10" fillId="6" borderId="16" xfId="0" applyNumberFormat="1" applyFont="1" applyFill="1" applyBorder="1" applyAlignment="1">
      <alignment horizontal="left"/>
    </xf>
    <xf numFmtId="1" fontId="10" fillId="6" borderId="32" xfId="0" applyNumberFormat="1" applyFont="1" applyFill="1" applyBorder="1" applyAlignment="1">
      <alignment horizontal="left"/>
    </xf>
    <xf numFmtId="1" fontId="10" fillId="8" borderId="33" xfId="0" applyNumberFormat="1" applyFont="1" applyFill="1" applyBorder="1" applyAlignment="1">
      <alignment horizontal="left"/>
    </xf>
    <xf numFmtId="1" fontId="10" fillId="6" borderId="7" xfId="0" applyNumberFormat="1" applyFont="1" applyFill="1" applyBorder="1" applyAlignment="1">
      <alignment horizontal="left"/>
    </xf>
    <xf numFmtId="171" fontId="0" fillId="6" borderId="29" xfId="3" applyNumberFormat="1" applyFont="1" applyFill="1" applyBorder="1" applyAlignment="1">
      <alignment horizontal="left"/>
    </xf>
    <xf numFmtId="1" fontId="10" fillId="8" borderId="5" xfId="0" applyNumberFormat="1" applyFont="1" applyFill="1" applyBorder="1" applyAlignment="1">
      <alignment horizontal="left"/>
    </xf>
    <xf numFmtId="171" fontId="0" fillId="8" borderId="14" xfId="3" applyNumberFormat="1" applyFont="1" applyFill="1" applyBorder="1" applyAlignment="1">
      <alignment horizontal="left"/>
    </xf>
    <xf numFmtId="1" fontId="10" fillId="6" borderId="5" xfId="0" applyNumberFormat="1" applyFont="1" applyFill="1" applyBorder="1" applyAlignment="1">
      <alignment horizontal="left"/>
    </xf>
    <xf numFmtId="10" fontId="10" fillId="6" borderId="14" xfId="1" applyNumberFormat="1" applyFont="1" applyFill="1" applyBorder="1" applyAlignment="1">
      <alignment horizontal="left"/>
    </xf>
    <xf numFmtId="1" fontId="10" fillId="8" borderId="30" xfId="0" applyNumberFormat="1" applyFont="1" applyFill="1" applyBorder="1" applyAlignment="1">
      <alignment horizontal="left"/>
    </xf>
    <xf numFmtId="171" fontId="0" fillId="8" borderId="31" xfId="3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171" fontId="9" fillId="8" borderId="31" xfId="3" applyNumberFormat="1" applyFont="1" applyFill="1" applyBorder="1" applyAlignment="1">
      <alignment horizontal="left"/>
    </xf>
    <xf numFmtId="1" fontId="9" fillId="8" borderId="30" xfId="0" applyNumberFormat="1" applyFont="1" applyFill="1" applyBorder="1" applyAlignment="1">
      <alignment horizontal="left"/>
    </xf>
    <xf numFmtId="1" fontId="9" fillId="6" borderId="5" xfId="0" applyNumberFormat="1" applyFont="1" applyFill="1" applyBorder="1" applyAlignment="1">
      <alignment horizontal="left"/>
    </xf>
    <xf numFmtId="171" fontId="9" fillId="6" borderId="14" xfId="3" applyNumberFormat="1" applyFont="1" applyFill="1" applyBorder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1" fontId="7" fillId="10" borderId="34" xfId="0" applyNumberFormat="1" applyFont="1" applyFill="1" applyBorder="1" applyAlignment="1">
      <alignment horizontal="center"/>
    </xf>
    <xf numFmtId="1" fontId="7" fillId="10" borderId="35" xfId="0" applyNumberFormat="1" applyFont="1" applyFill="1" applyBorder="1" applyAlignment="1">
      <alignment horizontal="center"/>
    </xf>
    <xf numFmtId="1" fontId="7" fillId="2" borderId="9" xfId="0" applyNumberFormat="1" applyFont="1" applyFill="1" applyBorder="1" applyAlignment="1">
      <alignment horizontal="center"/>
    </xf>
    <xf numFmtId="1" fontId="7" fillId="2" borderId="3" xfId="0" applyNumberFormat="1" applyFont="1" applyFill="1" applyBorder="1" applyAlignment="1">
      <alignment horizontal="center"/>
    </xf>
    <xf numFmtId="1" fontId="6" fillId="6" borderId="1" xfId="0" applyNumberFormat="1" applyFont="1" applyFill="1" applyBorder="1" applyAlignment="1">
      <alignment horizontal="center"/>
    </xf>
    <xf numFmtId="1" fontId="6" fillId="6" borderId="2" xfId="0" applyNumberFormat="1" applyFont="1" applyFill="1" applyBorder="1" applyAlignment="1">
      <alignment horizontal="center"/>
    </xf>
    <xf numFmtId="1" fontId="6" fillId="6" borderId="3" xfId="0" applyNumberFormat="1" applyFont="1" applyFill="1" applyBorder="1" applyAlignment="1">
      <alignment horizontal="center"/>
    </xf>
    <xf numFmtId="1" fontId="0" fillId="6" borderId="9" xfId="0" applyNumberFormat="1" applyFill="1" applyBorder="1" applyAlignment="1">
      <alignment horizontal="center"/>
    </xf>
    <xf numFmtId="1" fontId="0" fillId="6" borderId="11" xfId="0" applyNumberFormat="1" applyFill="1" applyBorder="1" applyAlignment="1">
      <alignment horizontal="center"/>
    </xf>
    <xf numFmtId="1" fontId="0" fillId="6" borderId="12" xfId="0" applyNumberFormat="1" applyFill="1" applyBorder="1" applyAlignment="1">
      <alignment horizontal="center"/>
    </xf>
    <xf numFmtId="1" fontId="0" fillId="6" borderId="20" xfId="0" applyNumberFormat="1" applyFill="1" applyBorder="1" applyAlignment="1">
      <alignment horizontal="left"/>
    </xf>
    <xf numFmtId="1" fontId="0" fillId="6" borderId="22" xfId="0" applyNumberFormat="1" applyFill="1" applyBorder="1" applyAlignment="1">
      <alignment horizontal="left"/>
    </xf>
    <xf numFmtId="1" fontId="7" fillId="2" borderId="1" xfId="0" applyNumberFormat="1" applyFont="1" applyFill="1" applyBorder="1" applyAlignment="1">
      <alignment horizontal="center"/>
    </xf>
    <xf numFmtId="1" fontId="7" fillId="2" borderId="10" xfId="0" applyNumberFormat="1" applyFont="1" applyFill="1" applyBorder="1" applyAlignment="1">
      <alignment horizontal="center"/>
    </xf>
    <xf numFmtId="1" fontId="5" fillId="6" borderId="9" xfId="0" applyNumberFormat="1" applyFont="1" applyFill="1" applyBorder="1" applyAlignment="1">
      <alignment horizontal="left"/>
    </xf>
    <xf numFmtId="1" fontId="5" fillId="6" borderId="12" xfId="0" applyNumberFormat="1" applyFont="1" applyFill="1" applyBorder="1" applyAlignment="1">
      <alignment horizontal="left"/>
    </xf>
    <xf numFmtId="1" fontId="0" fillId="8" borderId="17" xfId="0" applyNumberFormat="1" applyFill="1" applyBorder="1" applyAlignment="1">
      <alignment horizontal="center"/>
    </xf>
    <xf numFmtId="1" fontId="0" fillId="8" borderId="0" xfId="0" applyNumberFormat="1" applyFill="1" applyAlignment="1">
      <alignment horizontal="center"/>
    </xf>
    <xf numFmtId="1" fontId="0" fillId="8" borderId="18" xfId="0" applyNumberFormat="1" applyFill="1" applyBorder="1" applyAlignment="1">
      <alignment horizontal="center"/>
    </xf>
    <xf numFmtId="1" fontId="0" fillId="8" borderId="17" xfId="0" applyNumberFormat="1" applyFill="1" applyBorder="1" applyAlignment="1">
      <alignment horizontal="left"/>
    </xf>
    <xf numFmtId="1" fontId="0" fillId="8" borderId="18" xfId="0" applyNumberFormat="1" applyFill="1" applyBorder="1" applyAlignment="1">
      <alignment horizontal="left"/>
    </xf>
    <xf numFmtId="1" fontId="7" fillId="2" borderId="2" xfId="0" applyNumberFormat="1" applyFont="1" applyFill="1" applyBorder="1" applyAlignment="1">
      <alignment horizontal="center"/>
    </xf>
    <xf numFmtId="1" fontId="5" fillId="6" borderId="20" xfId="0" applyNumberFormat="1" applyFont="1" applyFill="1" applyBorder="1" applyAlignment="1">
      <alignment horizontal="center"/>
    </xf>
    <xf numFmtId="1" fontId="5" fillId="6" borderId="21" xfId="0" applyNumberFormat="1" applyFont="1" applyFill="1" applyBorder="1" applyAlignment="1">
      <alignment horizontal="center"/>
    </xf>
    <xf numFmtId="1" fontId="5" fillId="6" borderId="22" xfId="0" applyNumberFormat="1" applyFont="1" applyFill="1" applyBorder="1" applyAlignment="1">
      <alignment horizontal="center"/>
    </xf>
    <xf numFmtId="1" fontId="0" fillId="6" borderId="17" xfId="0" applyNumberFormat="1" applyFill="1" applyBorder="1" applyAlignment="1">
      <alignment horizontal="left"/>
    </xf>
    <xf numFmtId="1" fontId="0" fillId="6" borderId="18" xfId="0" applyNumberFormat="1" applyFill="1" applyBorder="1" applyAlignment="1">
      <alignment horizontal="left"/>
    </xf>
    <xf numFmtId="1" fontId="5" fillId="8" borderId="17" xfId="0" applyNumberFormat="1" applyFont="1" applyFill="1" applyBorder="1" applyAlignment="1">
      <alignment horizontal="center"/>
    </xf>
    <xf numFmtId="1" fontId="5" fillId="8" borderId="0" xfId="0" applyNumberFormat="1" applyFont="1" applyFill="1" applyAlignment="1">
      <alignment horizontal="center"/>
    </xf>
    <xf numFmtId="1" fontId="5" fillId="8" borderId="18" xfId="0" applyNumberFormat="1" applyFont="1" applyFill="1" applyBorder="1" applyAlignment="1">
      <alignment horizontal="center"/>
    </xf>
    <xf numFmtId="1" fontId="0" fillId="6" borderId="20" xfId="0" applyNumberFormat="1" applyFill="1" applyBorder="1" applyAlignment="1">
      <alignment horizontal="center"/>
    </xf>
    <xf numFmtId="1" fontId="0" fillId="6" borderId="21" xfId="0" applyNumberFormat="1" applyFill="1" applyBorder="1" applyAlignment="1">
      <alignment horizontal="center"/>
    </xf>
    <xf numFmtId="1" fontId="0" fillId="6" borderId="22" xfId="0" applyNumberFormat="1" applyFill="1" applyBorder="1" applyAlignment="1">
      <alignment horizontal="center"/>
    </xf>
    <xf numFmtId="1" fontId="0" fillId="6" borderId="9" xfId="0" applyNumberFormat="1" applyFill="1" applyBorder="1" applyAlignment="1">
      <alignment horizontal="left"/>
    </xf>
    <xf numFmtId="1" fontId="0" fillId="6" borderId="12" xfId="0" applyNumberFormat="1" applyFill="1" applyBorder="1" applyAlignment="1">
      <alignment horizontal="left"/>
    </xf>
    <xf numFmtId="1" fontId="5" fillId="8" borderId="17" xfId="0" applyNumberFormat="1" applyFont="1" applyFill="1" applyBorder="1" applyAlignment="1">
      <alignment horizontal="left"/>
    </xf>
    <xf numFmtId="1" fontId="5" fillId="8" borderId="18" xfId="0" applyNumberFormat="1" applyFont="1" applyFill="1" applyBorder="1" applyAlignment="1">
      <alignment horizontal="left"/>
    </xf>
    <xf numFmtId="1" fontId="5" fillId="6" borderId="9" xfId="0" applyNumberFormat="1" applyFont="1" applyFill="1" applyBorder="1" applyAlignment="1">
      <alignment horizontal="center"/>
    </xf>
    <xf numFmtId="1" fontId="5" fillId="6" borderId="11" xfId="0" applyNumberFormat="1" applyFont="1" applyFill="1" applyBorder="1" applyAlignment="1">
      <alignment horizontal="center"/>
    </xf>
    <xf numFmtId="1" fontId="5" fillId="6" borderId="12" xfId="0" applyNumberFormat="1" applyFont="1" applyFill="1" applyBorder="1" applyAlignment="1">
      <alignment horizontal="center"/>
    </xf>
    <xf numFmtId="1" fontId="5" fillId="6" borderId="17" xfId="0" applyNumberFormat="1" applyFont="1" applyFill="1" applyBorder="1" applyAlignment="1">
      <alignment horizontal="left"/>
    </xf>
    <xf numFmtId="1" fontId="5" fillId="6" borderId="18" xfId="0" applyNumberFormat="1" applyFont="1" applyFill="1" applyBorder="1" applyAlignment="1">
      <alignment horizontal="left"/>
    </xf>
    <xf numFmtId="1" fontId="0" fillId="8" borderId="20" xfId="0" applyNumberFormat="1" applyFill="1" applyBorder="1" applyAlignment="1">
      <alignment horizontal="left"/>
    </xf>
    <xf numFmtId="1" fontId="0" fillId="8" borderId="22" xfId="0" applyNumberFormat="1" applyFill="1" applyBorder="1" applyAlignment="1">
      <alignment horizontal="left"/>
    </xf>
    <xf numFmtId="1" fontId="5" fillId="6" borderId="20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/>
    </xf>
    <xf numFmtId="1" fontId="7" fillId="7" borderId="1" xfId="0" applyNumberFormat="1" applyFont="1" applyFill="1" applyBorder="1" applyAlignment="1">
      <alignment horizontal="center"/>
    </xf>
    <xf numFmtId="1" fontId="7" fillId="7" borderId="2" xfId="0" applyNumberFormat="1" applyFont="1" applyFill="1" applyBorder="1" applyAlignment="1">
      <alignment horizontal="center"/>
    </xf>
    <xf numFmtId="1" fontId="7" fillId="7" borderId="3" xfId="0" applyNumberFormat="1" applyFont="1" applyFill="1" applyBorder="1" applyAlignment="1">
      <alignment horizontal="center"/>
    </xf>
    <xf numFmtId="1" fontId="8" fillId="9" borderId="26" xfId="0" applyNumberFormat="1" applyFont="1" applyFill="1" applyBorder="1" applyAlignment="1">
      <alignment horizontal="center"/>
    </xf>
    <xf numFmtId="0" fontId="11" fillId="9" borderId="1" xfId="0" applyFont="1" applyFill="1" applyBorder="1" applyAlignment="1">
      <alignment horizontal="center"/>
    </xf>
    <xf numFmtId="0" fontId="11" fillId="9" borderId="2" xfId="0" applyFont="1" applyFill="1" applyBorder="1" applyAlignment="1">
      <alignment horizontal="center"/>
    </xf>
    <xf numFmtId="0" fontId="11" fillId="9" borderId="3" xfId="0" applyFont="1" applyFill="1" applyBorder="1" applyAlignment="1">
      <alignment horizontal="center"/>
    </xf>
    <xf numFmtId="1" fontId="10" fillId="6" borderId="7" xfId="0" applyNumberFormat="1" applyFont="1" applyFill="1" applyBorder="1" applyAlignment="1">
      <alignment horizontal="center"/>
    </xf>
    <xf numFmtId="1" fontId="10" fillId="6" borderId="5" xfId="0" applyNumberFormat="1" applyFont="1" applyFill="1" applyBorder="1" applyAlignment="1">
      <alignment horizontal="center"/>
    </xf>
    <xf numFmtId="1" fontId="10" fillId="8" borderId="7" xfId="0" applyNumberFormat="1" applyFont="1" applyFill="1" applyBorder="1" applyAlignment="1">
      <alignment horizontal="center"/>
    </xf>
    <xf numFmtId="1" fontId="10" fillId="8" borderId="30" xfId="0" applyNumberFormat="1" applyFont="1" applyFill="1" applyBorder="1" applyAlignment="1">
      <alignment horizontal="center"/>
    </xf>
    <xf numFmtId="1" fontId="10" fillId="8" borderId="5" xfId="0" applyNumberFormat="1" applyFont="1" applyFill="1" applyBorder="1" applyAlignment="1">
      <alignment horizontal="center"/>
    </xf>
    <xf numFmtId="2" fontId="10" fillId="6" borderId="7" xfId="0" applyNumberFormat="1" applyFont="1" applyFill="1" applyBorder="1" applyAlignment="1">
      <alignment horizontal="left"/>
    </xf>
    <xf numFmtId="2" fontId="10" fillId="8" borderId="5" xfId="0" applyNumberFormat="1" applyFont="1" applyFill="1" applyBorder="1" applyAlignment="1">
      <alignment horizontal="left"/>
    </xf>
    <xf numFmtId="2" fontId="10" fillId="6" borderId="5" xfId="0" applyNumberFormat="1" applyFont="1" applyFill="1" applyBorder="1" applyAlignment="1">
      <alignment horizontal="left"/>
    </xf>
    <xf numFmtId="173" fontId="10" fillId="6" borderId="7" xfId="0" applyNumberFormat="1" applyFont="1" applyFill="1" applyBorder="1" applyAlignment="1">
      <alignment horizontal="center"/>
    </xf>
    <xf numFmtId="173" fontId="10" fillId="8" borderId="5" xfId="0" applyNumberFormat="1" applyFont="1" applyFill="1" applyBorder="1" applyAlignment="1">
      <alignment horizontal="center"/>
    </xf>
    <xf numFmtId="173" fontId="10" fillId="6" borderId="5" xfId="0" applyNumberFormat="1" applyFont="1" applyFill="1" applyBorder="1" applyAlignment="1">
      <alignment horizontal="center"/>
    </xf>
    <xf numFmtId="173" fontId="10" fillId="8" borderId="30" xfId="0" applyNumberFormat="1" applyFont="1" applyFill="1" applyBorder="1" applyAlignment="1">
      <alignment horizontal="center"/>
    </xf>
    <xf numFmtId="0" fontId="13" fillId="9" borderId="0" xfId="0" applyFont="1" applyFill="1" applyAlignment="1">
      <alignment horizontal="center"/>
    </xf>
    <xf numFmtId="2" fontId="0" fillId="0" borderId="0" xfId="0" applyNumberFormat="1"/>
  </cellXfs>
  <cellStyles count="4">
    <cellStyle name="Comma" xfId="2" builtinId="3"/>
    <cellStyle name="Comma [0]" xfId="3" builtinId="6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DCDDDF"/>
      <color rgb="FFCDCED0"/>
      <color rgb="FF34495E"/>
      <color rgb="FFE84B3B"/>
      <color rgb="FFDC2626"/>
      <color rgb="FF0891B2"/>
      <color rgb="FF16A34A"/>
      <color rgb="FF7C3AED"/>
      <color rgb="FF2C3E50"/>
      <color rgb="FF81B9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Futures and Forwards'!A1"/><Relationship Id="rId2" Type="http://schemas.openxmlformats.org/officeDocument/2006/relationships/hyperlink" Target="#'Bond Pricer'!A1"/><Relationship Id="rId1" Type="http://schemas.openxmlformats.org/officeDocument/2006/relationships/hyperlink" Target="https://gervilausnir.com/projects/derivative-course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2</xdr:row>
      <xdr:rowOff>25400</xdr:rowOff>
    </xdr:from>
    <xdr:to>
      <xdr:col>6</xdr:col>
      <xdr:colOff>812800</xdr:colOff>
      <xdr:row>5</xdr:row>
      <xdr:rowOff>12700</xdr:rowOff>
    </xdr:to>
    <xdr:sp macro="" textlink="">
      <xdr:nvSpPr>
        <xdr:cNvPr id="3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67560A-0807-846B-3029-AD33AE45DABD}"/>
            </a:ext>
          </a:extLst>
        </xdr:cNvPr>
        <xdr:cNvSpPr/>
      </xdr:nvSpPr>
      <xdr:spPr>
        <a:xfrm>
          <a:off x="835660" y="431800"/>
          <a:ext cx="4914900" cy="5969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Afleiður Online Version</a:t>
          </a:r>
        </a:p>
      </xdr:txBody>
    </xdr:sp>
    <xdr:clientData/>
  </xdr:twoCellAnchor>
  <xdr:twoCellAnchor>
    <xdr:from>
      <xdr:col>1</xdr:col>
      <xdr:colOff>12700</xdr:colOff>
      <xdr:row>8</xdr:row>
      <xdr:rowOff>25400</xdr:rowOff>
    </xdr:from>
    <xdr:to>
      <xdr:col>2</xdr:col>
      <xdr:colOff>812800</xdr:colOff>
      <xdr:row>9</xdr:row>
      <xdr:rowOff>190500</xdr:rowOff>
    </xdr:to>
    <xdr:sp macro="" textlink="">
      <xdr:nvSpPr>
        <xdr:cNvPr id="10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5FC1E0-B696-3F5C-59FC-86DEF42C20A6}"/>
            </a:ext>
          </a:extLst>
        </xdr:cNvPr>
        <xdr:cNvSpPr/>
      </xdr:nvSpPr>
      <xdr:spPr>
        <a:xfrm>
          <a:off x="838200" y="1816100"/>
          <a:ext cx="1625600" cy="368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Bonds Pricer</a:t>
          </a:r>
        </a:p>
        <a:p>
          <a:pPr algn="ctr"/>
          <a:endParaRPr lang="en-US" sz="2000"/>
        </a:p>
      </xdr:txBody>
    </xdr:sp>
    <xdr:clientData/>
  </xdr:twoCellAnchor>
  <xdr:twoCellAnchor>
    <xdr:from>
      <xdr:col>4</xdr:col>
      <xdr:colOff>12700</xdr:colOff>
      <xdr:row>8</xdr:row>
      <xdr:rowOff>0</xdr:rowOff>
    </xdr:from>
    <xdr:to>
      <xdr:col>7</xdr:col>
      <xdr:colOff>25400</xdr:colOff>
      <xdr:row>10</xdr:row>
      <xdr:rowOff>12700</xdr:rowOff>
    </xdr:to>
    <xdr:sp macro="" textlink="">
      <xdr:nvSpPr>
        <xdr:cNvPr id="2" name="Rectangl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4C42C0-CD18-C2FC-C9A2-AC295CF1DE8B}"/>
            </a:ext>
          </a:extLst>
        </xdr:cNvPr>
        <xdr:cNvSpPr/>
      </xdr:nvSpPr>
      <xdr:spPr>
        <a:xfrm>
          <a:off x="3314700" y="1790700"/>
          <a:ext cx="2489200" cy="419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Futures and Forwards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91D0E-A940-A641-9795-C6A7468B81E8}">
  <dimension ref="B6:G7"/>
  <sheetViews>
    <sheetView workbookViewId="0">
      <selection activeCell="G19" sqref="G19"/>
    </sheetView>
  </sheetViews>
  <sheetFormatPr baseColWidth="10" defaultRowHeight="16" x14ac:dyDescent="0.2"/>
  <sheetData>
    <row r="6" spans="2:7" ht="17" thickBot="1" x14ac:dyDescent="0.25"/>
    <row r="7" spans="2:7" ht="28" thickBot="1" x14ac:dyDescent="0.25">
      <c r="B7" s="112" t="s">
        <v>13</v>
      </c>
      <c r="C7" s="113"/>
      <c r="D7" s="113"/>
      <c r="E7" s="113"/>
      <c r="F7" s="113"/>
      <c r="G7" s="114"/>
    </row>
  </sheetData>
  <mergeCells count="1">
    <mergeCell ref="B7:G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7CCD7-B9AD-8247-BFD5-9678BAD16E60}">
  <dimension ref="A2:Z103"/>
  <sheetViews>
    <sheetView workbookViewId="0">
      <selection activeCell="C4" sqref="C4"/>
    </sheetView>
  </sheetViews>
  <sheetFormatPr baseColWidth="10" defaultRowHeight="16" x14ac:dyDescent="0.2"/>
  <cols>
    <col min="2" max="2" width="20.1640625" bestFit="1" customWidth="1"/>
    <col min="3" max="3" width="17.1640625" bestFit="1" customWidth="1"/>
    <col min="5" max="6" width="14" bestFit="1" customWidth="1"/>
    <col min="12" max="12" width="12.1640625" customWidth="1"/>
    <col min="16" max="16" width="12.1640625" customWidth="1"/>
    <col min="21" max="21" width="13.33203125" bestFit="1" customWidth="1"/>
    <col min="25" max="25" width="12.1640625" customWidth="1"/>
  </cols>
  <sheetData>
    <row r="2" spans="1:26" x14ac:dyDescent="0.2">
      <c r="A2" t="s">
        <v>46</v>
      </c>
      <c r="B2" s="115" t="s">
        <v>31</v>
      </c>
      <c r="C2" s="115"/>
      <c r="E2" s="116" t="s">
        <v>29</v>
      </c>
      <c r="F2" s="116"/>
      <c r="J2" s="19" t="s">
        <v>24</v>
      </c>
      <c r="K2" s="19" t="s">
        <v>21</v>
      </c>
      <c r="L2" s="19" t="s">
        <v>26</v>
      </c>
      <c r="M2" s="19" t="s">
        <v>22</v>
      </c>
      <c r="N2" s="19" t="s">
        <v>23</v>
      </c>
      <c r="O2" s="19" t="s">
        <v>25</v>
      </c>
      <c r="P2" s="19" t="s">
        <v>44</v>
      </c>
      <c r="Q2" s="19" t="s">
        <v>45</v>
      </c>
      <c r="S2" s="4" t="s">
        <v>24</v>
      </c>
      <c r="T2" s="4" t="s">
        <v>21</v>
      </c>
      <c r="U2" s="4" t="s">
        <v>30</v>
      </c>
      <c r="V2" s="4" t="s">
        <v>22</v>
      </c>
      <c r="W2" s="4" t="s">
        <v>23</v>
      </c>
      <c r="X2" s="4" t="s">
        <v>25</v>
      </c>
      <c r="Y2" s="4" t="s">
        <v>35</v>
      </c>
      <c r="Z2" s="4" t="s">
        <v>36</v>
      </c>
    </row>
    <row r="3" spans="1:26" x14ac:dyDescent="0.2">
      <c r="B3" s="1" t="s">
        <v>14</v>
      </c>
      <c r="C3" s="2">
        <v>1000</v>
      </c>
      <c r="E3" s="5" t="s">
        <v>28</v>
      </c>
      <c r="F3" s="7">
        <f>SUM(X3:X103)</f>
        <v>955.91047496981173</v>
      </c>
      <c r="J3" s="2">
        <v>0</v>
      </c>
      <c r="K3" s="5">
        <v>0</v>
      </c>
      <c r="L3" s="2">
        <v>0</v>
      </c>
      <c r="M3" s="5">
        <v>0</v>
      </c>
      <c r="N3" s="2">
        <v>0</v>
      </c>
      <c r="O3" s="5">
        <v>0</v>
      </c>
      <c r="P3" s="2">
        <v>0</v>
      </c>
      <c r="Q3" s="5">
        <v>0</v>
      </c>
      <c r="S3" s="2">
        <v>0</v>
      </c>
      <c r="T3" s="5">
        <v>0</v>
      </c>
      <c r="U3" s="2">
        <v>0</v>
      </c>
      <c r="V3" s="5">
        <v>0</v>
      </c>
      <c r="W3" s="2">
        <v>0</v>
      </c>
      <c r="X3" s="5">
        <v>0</v>
      </c>
      <c r="Y3" s="2">
        <v>0</v>
      </c>
      <c r="Z3" s="5">
        <v>0</v>
      </c>
    </row>
    <row r="4" spans="1:26" x14ac:dyDescent="0.2">
      <c r="B4" s="1" t="s">
        <v>15</v>
      </c>
      <c r="C4" s="2">
        <v>10</v>
      </c>
      <c r="J4" s="2">
        <f t="shared" ref="J4:J35" si="0">IF(J3="","",IF(J3=$C$4*$C$6,"",J3+1))</f>
        <v>1</v>
      </c>
      <c r="K4" s="5">
        <f t="shared" ref="K4:K35" si="1">IF(K3="","",IF(K3=$C$4,"",K3+1/$C$6))</f>
        <v>0.5</v>
      </c>
      <c r="L4" s="10">
        <f>IF(ISNUMBER(J4),IF(K4&gt;7,(0.04+0.000352*6.5*2),(0.04+0.000352*(K4-0.5)*2)),"")</f>
        <v>0.04</v>
      </c>
      <c r="M4" s="5">
        <f t="shared" ref="M4:M35" si="2">IF(K4="","",IF(K4&lt;$C$4,$C$7,IF(K4=$C$4,$C$3+$C$7)))</f>
        <v>21.875</v>
      </c>
      <c r="N4" s="2">
        <f>IF(ISNUMBER(K4),1/(1+L4)^K4,"")</f>
        <v>0.98058067569092011</v>
      </c>
      <c r="O4" s="5">
        <f>IF(ISNUMBER(M4),N4*M4,"")</f>
        <v>21.450202280738878</v>
      </c>
      <c r="P4" s="13">
        <f>IF(ISNUMBER(K4),(1/(1+(L4+$C$15/10000))^K4)*M4,"")</f>
        <v>21.449171095377579</v>
      </c>
      <c r="Q4" s="5">
        <f>IF(ISNUMBER(K4),(1/(1+(L4-$C$15/10000))^K4)*M4,"")</f>
        <v>21.451233614839566</v>
      </c>
      <c r="S4" s="2">
        <f t="shared" ref="S4:S35" si="3">IF(S3="","",IF(S3=$C$4*$C$6,"",S3+1))</f>
        <v>1</v>
      </c>
      <c r="T4" s="5">
        <f t="shared" ref="T4:T35" si="4">IF(T3="","",IF(T3=$C$4,"",T3+1/$C$6))</f>
        <v>0.5</v>
      </c>
      <c r="U4" s="10">
        <f t="shared" ref="U4:U35" si="5">IF(ISNUMBER(S4),$C$9,"")</f>
        <v>0.05</v>
      </c>
      <c r="V4" s="5">
        <f t="shared" ref="V4:V35" si="6">IF(T4="","",IF(T4&lt;$C$4,$C$7,IF(T4=$C$4,$C$3+$C$7)))</f>
        <v>21.875</v>
      </c>
      <c r="W4" s="2">
        <f>IF(ISNUMBER(T4),1/(1+$C$9)^T4,"")</f>
        <v>0.97590007294853309</v>
      </c>
      <c r="X4" s="5">
        <f>IF(ISNUMBER(V4),W4*V4,"")</f>
        <v>21.347814095749161</v>
      </c>
      <c r="Y4" s="13">
        <f>IF(ISNUMBER(T4),(1/(1+($U$4+$C$15/10000))^T4)*V4,"")</f>
        <v>21.346797605779024</v>
      </c>
      <c r="Z4" s="5">
        <f>IF(ISNUMBER(T4),(1/(1+($U$4-$C$15/10000))^T4)*V4,"")</f>
        <v>21.348830730942527</v>
      </c>
    </row>
    <row r="5" spans="1:26" x14ac:dyDescent="0.2">
      <c r="B5" s="1" t="s">
        <v>16</v>
      </c>
      <c r="C5" s="3">
        <v>4.3749999999999997E-2</v>
      </c>
      <c r="E5" s="117" t="s">
        <v>47</v>
      </c>
      <c r="F5" s="117"/>
      <c r="J5" s="2">
        <f t="shared" si="0"/>
        <v>2</v>
      </c>
      <c r="K5" s="5">
        <f t="shared" si="1"/>
        <v>1</v>
      </c>
      <c r="L5" s="10">
        <f>IF(ISNUMBER(J5),IF(K5&gt;7,(0.04+0.000352*6.5*2),(0.04+0.000352*(K5-0.5)*2)),"")</f>
        <v>4.0351999999999999E-2</v>
      </c>
      <c r="M5" s="5">
        <f t="shared" si="2"/>
        <v>21.875</v>
      </c>
      <c r="N5" s="2">
        <f t="shared" ref="N5:N68" si="7">IF(ISNUMBER(K5),1/(1+L5)^K5,"")</f>
        <v>0.96121312786441515</v>
      </c>
      <c r="O5" s="5">
        <f t="shared" ref="O5:O68" si="8">IF(ISNUMBER(M5),N5*M5,"")</f>
        <v>21.026537172034082</v>
      </c>
      <c r="P5" s="13">
        <f t="shared" ref="P5:P68" si="9">IF(ISNUMBER(K5),(1/(1+(L5+$C$15/10000))^K5)*M5,"")</f>
        <v>21.024516267929709</v>
      </c>
      <c r="Q5" s="5">
        <f t="shared" ref="Q5:Q68" si="10">IF(ISNUMBER(K5),(1/(1+(L5-$C$15/10000))^K5)*M5,"")</f>
        <v>21.028558464679712</v>
      </c>
      <c r="S5" s="2">
        <f t="shared" si="3"/>
        <v>2</v>
      </c>
      <c r="T5" s="5">
        <f t="shared" si="4"/>
        <v>1</v>
      </c>
      <c r="U5" s="10">
        <f t="shared" si="5"/>
        <v>0.05</v>
      </c>
      <c r="V5" s="5">
        <f t="shared" si="6"/>
        <v>21.875</v>
      </c>
      <c r="W5" s="2">
        <f t="shared" ref="W5:W68" si="11">IF(ISNUMBER(T5),1/(1+$C$9)^T5,"")</f>
        <v>0.95238095238095233</v>
      </c>
      <c r="X5" s="5">
        <f t="shared" ref="X5:X68" si="12">IF(ISNUMBER(V5),W5*V5,"")</f>
        <v>20.833333333333332</v>
      </c>
      <c r="Y5" s="13">
        <f t="shared" ref="Y5:Y68" si="13">IF(ISNUMBER(T5),(1/(1+($U$4+$C$15/10000))^T5)*V5,"")</f>
        <v>20.831349395295685</v>
      </c>
      <c r="Z5" s="5">
        <f t="shared" ref="Z5:Z68" si="14">IF(ISNUMBER(T5),(1/(1+($U$4-$C$15/10000))^T5)*V5,"")</f>
        <v>20.835317649299931</v>
      </c>
    </row>
    <row r="6" spans="1:26" x14ac:dyDescent="0.2">
      <c r="B6" s="1" t="s">
        <v>17</v>
      </c>
      <c r="C6" s="2">
        <v>2</v>
      </c>
      <c r="E6" s="5" t="s">
        <v>12</v>
      </c>
      <c r="F6" s="7">
        <f>SUM(O3:O103)</f>
        <v>998.72365525286432</v>
      </c>
      <c r="J6" s="2">
        <f t="shared" si="0"/>
        <v>3</v>
      </c>
      <c r="K6" s="5">
        <f t="shared" si="1"/>
        <v>1.5</v>
      </c>
      <c r="L6" s="10">
        <f t="shared" ref="L6:L68" si="15">IF(ISNUMBER(J6),IF(K6&gt;7,(0.04+0.000352*6.5*2),(0.04+0.000352*(K6-0.5)*2)),"")</f>
        <v>4.0704000000000004E-2</v>
      </c>
      <c r="M6" s="5">
        <f t="shared" si="2"/>
        <v>21.875</v>
      </c>
      <c r="N6" s="2">
        <f t="shared" si="7"/>
        <v>0.94190947209702236</v>
      </c>
      <c r="O6" s="5">
        <f t="shared" si="8"/>
        <v>20.604269702122362</v>
      </c>
      <c r="P6" s="13">
        <f t="shared" si="9"/>
        <v>20.601300299413232</v>
      </c>
      <c r="Q6" s="5">
        <f t="shared" si="10"/>
        <v>20.607239818233058</v>
      </c>
      <c r="S6" s="2">
        <f t="shared" si="3"/>
        <v>3</v>
      </c>
      <c r="T6" s="5">
        <f t="shared" si="4"/>
        <v>1.5</v>
      </c>
      <c r="U6" s="10">
        <f t="shared" si="5"/>
        <v>0.05</v>
      </c>
      <c r="V6" s="5">
        <f t="shared" si="6"/>
        <v>21.875</v>
      </c>
      <c r="W6" s="2">
        <f t="shared" si="11"/>
        <v>0.92942864090336497</v>
      </c>
      <c r="X6" s="5">
        <f t="shared" si="12"/>
        <v>20.331251519761107</v>
      </c>
      <c r="Y6" s="13">
        <f t="shared" si="13"/>
        <v>20.328347400989454</v>
      </c>
      <c r="Z6" s="5">
        <f t="shared" si="14"/>
        <v>20.334156330071938</v>
      </c>
    </row>
    <row r="7" spans="1:26" x14ac:dyDescent="0.2">
      <c r="B7" s="1" t="s">
        <v>18</v>
      </c>
      <c r="C7" s="6">
        <f>C5*C3/C6</f>
        <v>21.875</v>
      </c>
      <c r="J7" s="2">
        <f t="shared" si="0"/>
        <v>4</v>
      </c>
      <c r="K7" s="5">
        <f t="shared" si="1"/>
        <v>2</v>
      </c>
      <c r="L7" s="10">
        <f t="shared" si="15"/>
        <v>4.1056000000000002E-2</v>
      </c>
      <c r="M7" s="5">
        <f t="shared" si="2"/>
        <v>21.875</v>
      </c>
      <c r="N7" s="2">
        <f t="shared" si="7"/>
        <v>0.922681508510374</v>
      </c>
      <c r="O7" s="5">
        <f t="shared" si="8"/>
        <v>20.183657998664433</v>
      </c>
      <c r="P7" s="13">
        <f t="shared" si="9"/>
        <v>20.179781021783366</v>
      </c>
      <c r="Q7" s="5">
        <f t="shared" si="10"/>
        <v>20.187536092930792</v>
      </c>
      <c r="S7" s="2">
        <f t="shared" si="3"/>
        <v>4</v>
      </c>
      <c r="T7" s="5">
        <f t="shared" si="4"/>
        <v>2</v>
      </c>
      <c r="U7" s="10">
        <f t="shared" si="5"/>
        <v>0.05</v>
      </c>
      <c r="V7" s="5">
        <f t="shared" si="6"/>
        <v>21.875</v>
      </c>
      <c r="W7" s="2">
        <f t="shared" si="11"/>
        <v>0.90702947845804982</v>
      </c>
      <c r="X7" s="5">
        <f t="shared" si="12"/>
        <v>19.841269841269838</v>
      </c>
      <c r="Y7" s="13">
        <f t="shared" si="13"/>
        <v>19.837491091606214</v>
      </c>
      <c r="Z7" s="5">
        <f t="shared" si="14"/>
        <v>19.845049670730479</v>
      </c>
    </row>
    <row r="8" spans="1:26" x14ac:dyDescent="0.2">
      <c r="B8" s="1" t="s">
        <v>19</v>
      </c>
      <c r="C8" s="2" t="s">
        <v>20</v>
      </c>
      <c r="J8" s="2">
        <f t="shared" si="0"/>
        <v>5</v>
      </c>
      <c r="K8" s="5">
        <f t="shared" si="1"/>
        <v>2.5</v>
      </c>
      <c r="L8" s="10">
        <f t="shared" si="15"/>
        <v>4.1408E-2</v>
      </c>
      <c r="M8" s="5">
        <f t="shared" si="2"/>
        <v>21.875</v>
      </c>
      <c r="N8" s="2">
        <f t="shared" si="7"/>
        <v>0.90354071239278544</v>
      </c>
      <c r="O8" s="5">
        <f t="shared" si="8"/>
        <v>19.764953083592182</v>
      </c>
      <c r="P8" s="13">
        <f t="shared" si="9"/>
        <v>19.760209113835597</v>
      </c>
      <c r="Q8" s="5">
        <f t="shared" si="10"/>
        <v>19.769698647986484</v>
      </c>
      <c r="S8" s="2">
        <f t="shared" si="3"/>
        <v>5</v>
      </c>
      <c r="T8" s="5">
        <f t="shared" si="4"/>
        <v>2.5</v>
      </c>
      <c r="U8" s="10">
        <f t="shared" si="5"/>
        <v>0.05</v>
      </c>
      <c r="V8" s="5">
        <f t="shared" si="6"/>
        <v>21.875</v>
      </c>
      <c r="W8" s="2">
        <f t="shared" si="11"/>
        <v>0.88517013419368074</v>
      </c>
      <c r="X8" s="5">
        <f t="shared" si="12"/>
        <v>19.363096685486767</v>
      </c>
      <c r="Y8" s="13">
        <f t="shared" si="13"/>
        <v>19.358487192638275</v>
      </c>
      <c r="Z8" s="5">
        <f t="shared" si="14"/>
        <v>19.36770771508899</v>
      </c>
    </row>
    <row r="9" spans="1:26" x14ac:dyDescent="0.2">
      <c r="B9" s="8" t="s">
        <v>27</v>
      </c>
      <c r="C9" s="9">
        <v>0.05</v>
      </c>
      <c r="J9" s="2">
        <f t="shared" si="0"/>
        <v>6</v>
      </c>
      <c r="K9" s="5">
        <f t="shared" si="1"/>
        <v>3</v>
      </c>
      <c r="L9" s="10">
        <f t="shared" si="15"/>
        <v>4.1759999999999999E-2</v>
      </c>
      <c r="M9" s="5">
        <f t="shared" si="2"/>
        <v>21.875</v>
      </c>
      <c r="N9" s="2">
        <f t="shared" si="7"/>
        <v>0.88449822557364977</v>
      </c>
      <c r="O9" s="5">
        <f t="shared" si="8"/>
        <v>19.348398684423589</v>
      </c>
      <c r="P9" s="13">
        <f t="shared" si="9"/>
        <v>19.342827914365547</v>
      </c>
      <c r="Q9" s="5">
        <f t="shared" si="10"/>
        <v>19.353971593876388</v>
      </c>
      <c r="S9" s="2">
        <f t="shared" si="3"/>
        <v>6</v>
      </c>
      <c r="T9" s="5">
        <f t="shared" si="4"/>
        <v>3</v>
      </c>
      <c r="U9" s="10">
        <f t="shared" si="5"/>
        <v>0.05</v>
      </c>
      <c r="V9" s="5">
        <f t="shared" si="6"/>
        <v>21.875</v>
      </c>
      <c r="W9" s="2">
        <f t="shared" si="11"/>
        <v>0.86383759853147601</v>
      </c>
      <c r="X9" s="5">
        <f t="shared" si="12"/>
        <v>18.896447467876037</v>
      </c>
      <c r="Y9" s="13">
        <f t="shared" si="13"/>
        <v>18.8910495111001</v>
      </c>
      <c r="Z9" s="5">
        <f t="shared" si="14"/>
        <v>18.901847481408211</v>
      </c>
    </row>
    <row r="10" spans="1:26" x14ac:dyDescent="0.2">
      <c r="J10" s="2">
        <f t="shared" si="0"/>
        <v>7</v>
      </c>
      <c r="K10" s="5">
        <f t="shared" si="1"/>
        <v>3.5</v>
      </c>
      <c r="L10" s="10">
        <f t="shared" si="15"/>
        <v>4.2112000000000004E-2</v>
      </c>
      <c r="M10" s="5">
        <f t="shared" si="2"/>
        <v>21.875</v>
      </c>
      <c r="N10" s="2">
        <f t="shared" si="7"/>
        <v>0.86556484855169424</v>
      </c>
      <c r="O10" s="5">
        <f t="shared" si="8"/>
        <v>18.93423106206831</v>
      </c>
      <c r="P10" s="13">
        <f t="shared" si="9"/>
        <v>18.927873251864384</v>
      </c>
      <c r="Q10" s="5">
        <f t="shared" si="10"/>
        <v>18.940591618265383</v>
      </c>
      <c r="S10" s="2">
        <f t="shared" si="3"/>
        <v>7</v>
      </c>
      <c r="T10" s="5">
        <f t="shared" si="4"/>
        <v>3.5</v>
      </c>
      <c r="U10" s="10">
        <f t="shared" si="5"/>
        <v>0.05</v>
      </c>
      <c r="V10" s="5">
        <f t="shared" si="6"/>
        <v>21.875</v>
      </c>
      <c r="W10" s="2">
        <f t="shared" si="11"/>
        <v>0.843019175422553</v>
      </c>
      <c r="X10" s="5">
        <f t="shared" si="12"/>
        <v>18.441044462368346</v>
      </c>
      <c r="Y10" s="13">
        <f t="shared" si="13"/>
        <v>18.434898764535067</v>
      </c>
      <c r="Z10" s="5">
        <f t="shared" si="14"/>
        <v>18.447192794636624</v>
      </c>
    </row>
    <row r="11" spans="1:26" x14ac:dyDescent="0.2">
      <c r="J11" s="2">
        <f t="shared" si="0"/>
        <v>8</v>
      </c>
      <c r="K11" s="5">
        <f t="shared" si="1"/>
        <v>4</v>
      </c>
      <c r="L11" s="10">
        <f t="shared" si="15"/>
        <v>4.2464000000000002E-2</v>
      </c>
      <c r="M11" s="5">
        <f t="shared" si="2"/>
        <v>21.875</v>
      </c>
      <c r="N11" s="2">
        <f t="shared" si="7"/>
        <v>0.84675103337636748</v>
      </c>
      <c r="O11" s="5">
        <f t="shared" si="8"/>
        <v>18.52267885510804</v>
      </c>
      <c r="P11" s="13">
        <f t="shared" si="9"/>
        <v>18.515573290728113</v>
      </c>
      <c r="Q11" s="5">
        <f t="shared" si="10"/>
        <v>18.529787828367652</v>
      </c>
      <c r="S11" s="2">
        <f t="shared" si="3"/>
        <v>8</v>
      </c>
      <c r="T11" s="5">
        <f t="shared" si="4"/>
        <v>4</v>
      </c>
      <c r="U11" s="10">
        <f t="shared" si="5"/>
        <v>0.05</v>
      </c>
      <c r="V11" s="5">
        <f t="shared" si="6"/>
        <v>21.875</v>
      </c>
      <c r="W11" s="2">
        <f t="shared" si="11"/>
        <v>0.82270247479188197</v>
      </c>
      <c r="X11" s="5">
        <f t="shared" si="12"/>
        <v>17.996616636072417</v>
      </c>
      <c r="Y11" s="13">
        <f t="shared" si="13"/>
        <v>17.989762414151127</v>
      </c>
      <c r="Z11" s="5">
        <f t="shared" si="14"/>
        <v>18.003474122686168</v>
      </c>
    </row>
    <row r="12" spans="1:26" x14ac:dyDescent="0.2">
      <c r="B12" s="118" t="s">
        <v>32</v>
      </c>
      <c r="C12" s="118"/>
      <c r="J12" s="2">
        <f t="shared" si="0"/>
        <v>9</v>
      </c>
      <c r="K12" s="5">
        <f t="shared" si="1"/>
        <v>4.5</v>
      </c>
      <c r="L12" s="10">
        <f t="shared" si="15"/>
        <v>4.2816E-2</v>
      </c>
      <c r="M12" s="5">
        <f t="shared" si="2"/>
        <v>21.875</v>
      </c>
      <c r="N12" s="2">
        <f t="shared" si="7"/>
        <v>0.82806687727983719</v>
      </c>
      <c r="O12" s="5">
        <f t="shared" si="8"/>
        <v>18.113962940496439</v>
      </c>
      <c r="P12" s="13">
        <f t="shared" si="9"/>
        <v>18.106148393919952</v>
      </c>
      <c r="Q12" s="5">
        <f t="shared" si="10"/>
        <v>18.121781609693091</v>
      </c>
      <c r="S12" s="2">
        <f t="shared" si="3"/>
        <v>9</v>
      </c>
      <c r="T12" s="5">
        <f t="shared" si="4"/>
        <v>4.5</v>
      </c>
      <c r="U12" s="10">
        <f t="shared" si="5"/>
        <v>0.05</v>
      </c>
      <c r="V12" s="5">
        <f t="shared" si="6"/>
        <v>21.875</v>
      </c>
      <c r="W12" s="2">
        <f t="shared" si="11"/>
        <v>0.80287540516433631</v>
      </c>
      <c r="X12" s="5">
        <f t="shared" si="12"/>
        <v>17.562899487969858</v>
      </c>
      <c r="Y12" s="13">
        <f t="shared" si="13"/>
        <v>17.55537450198559</v>
      </c>
      <c r="Z12" s="5">
        <f t="shared" si="14"/>
        <v>17.570428416645989</v>
      </c>
    </row>
    <row r="13" spans="1:26" x14ac:dyDescent="0.2">
      <c r="J13" s="2">
        <f t="shared" si="0"/>
        <v>10</v>
      </c>
      <c r="K13" s="5">
        <f t="shared" si="1"/>
        <v>5</v>
      </c>
      <c r="L13" s="10">
        <f t="shared" si="15"/>
        <v>4.3167999999999998E-2</v>
      </c>
      <c r="M13" s="5">
        <f t="shared" si="2"/>
        <v>21.875</v>
      </c>
      <c r="N13" s="2">
        <f t="shared" si="7"/>
        <v>0.8095221170553577</v>
      </c>
      <c r="O13" s="5">
        <f t="shared" si="8"/>
        <v>17.708296310585951</v>
      </c>
      <c r="P13" s="13">
        <f t="shared" si="9"/>
        <v>17.699811001987491</v>
      </c>
      <c r="Q13" s="5">
        <f t="shared" si="10"/>
        <v>17.716786501091864</v>
      </c>
      <c r="S13" s="2">
        <f t="shared" si="3"/>
        <v>10</v>
      </c>
      <c r="T13" s="5">
        <f t="shared" si="4"/>
        <v>5</v>
      </c>
      <c r="U13" s="10">
        <f t="shared" si="5"/>
        <v>0.05</v>
      </c>
      <c r="V13" s="5">
        <f t="shared" si="6"/>
        <v>21.875</v>
      </c>
      <c r="W13" s="2">
        <f t="shared" si="11"/>
        <v>0.78352616646845896</v>
      </c>
      <c r="X13" s="5">
        <f t="shared" si="12"/>
        <v>17.13963489149754</v>
      </c>
      <c r="Y13" s="13">
        <f t="shared" si="13"/>
        <v>17.131475492001837</v>
      </c>
      <c r="Z13" s="5">
        <f t="shared" si="14"/>
        <v>17.147798954839669</v>
      </c>
    </row>
    <row r="14" spans="1:26" x14ac:dyDescent="0.2">
      <c r="B14" s="119" t="s">
        <v>33</v>
      </c>
      <c r="C14" s="119"/>
      <c r="J14" s="2">
        <f t="shared" si="0"/>
        <v>11</v>
      </c>
      <c r="K14" s="5">
        <f t="shared" si="1"/>
        <v>5.5</v>
      </c>
      <c r="L14" s="10">
        <f t="shared" si="15"/>
        <v>4.3520000000000003E-2</v>
      </c>
      <c r="M14" s="5">
        <f t="shared" si="2"/>
        <v>21.875</v>
      </c>
      <c r="N14" s="2">
        <f t="shared" si="7"/>
        <v>0.79112612417611117</v>
      </c>
      <c r="O14" s="5">
        <f t="shared" si="8"/>
        <v>17.305883966352432</v>
      </c>
      <c r="P14" s="13">
        <f t="shared" si="9"/>
        <v>17.296765528300316</v>
      </c>
      <c r="Q14" s="5">
        <f t="shared" si="10"/>
        <v>17.315008085973748</v>
      </c>
      <c r="S14" s="2">
        <f t="shared" si="3"/>
        <v>11</v>
      </c>
      <c r="T14" s="5">
        <f t="shared" si="4"/>
        <v>5.5</v>
      </c>
      <c r="U14" s="10">
        <f t="shared" si="5"/>
        <v>0.05</v>
      </c>
      <c r="V14" s="5">
        <f t="shared" si="6"/>
        <v>21.875</v>
      </c>
      <c r="W14" s="2">
        <f t="shared" si="11"/>
        <v>0.7646432430136535</v>
      </c>
      <c r="X14" s="5">
        <f t="shared" si="12"/>
        <v>16.726570940923668</v>
      </c>
      <c r="Y14" s="13">
        <f t="shared" si="13"/>
        <v>16.717812115022941</v>
      </c>
      <c r="Z14" s="5">
        <f t="shared" si="14"/>
        <v>16.735335190633382</v>
      </c>
    </row>
    <row r="15" spans="1:26" x14ac:dyDescent="0.2">
      <c r="B15" s="1" t="s">
        <v>34</v>
      </c>
      <c r="C15" s="15">
        <v>1</v>
      </c>
      <c r="E15" s="11"/>
      <c r="J15" s="2">
        <f t="shared" si="0"/>
        <v>12</v>
      </c>
      <c r="K15" s="5">
        <f t="shared" si="1"/>
        <v>6</v>
      </c>
      <c r="L15" s="10">
        <f t="shared" si="15"/>
        <v>4.3872000000000001E-2</v>
      </c>
      <c r="M15" s="5">
        <f t="shared" si="2"/>
        <v>21.875</v>
      </c>
      <c r="N15" s="2">
        <f t="shared" si="7"/>
        <v>0.77288790064698476</v>
      </c>
      <c r="O15" s="5">
        <f t="shared" si="8"/>
        <v>16.906922826652792</v>
      </c>
      <c r="P15" s="13">
        <f t="shared" si="9"/>
        <v>16.89720827033759</v>
      </c>
      <c r="Q15" s="5">
        <f t="shared" si="10"/>
        <v>16.916643899542834</v>
      </c>
      <c r="S15" s="2">
        <f t="shared" si="3"/>
        <v>12</v>
      </c>
      <c r="T15" s="5">
        <f t="shared" si="4"/>
        <v>6</v>
      </c>
      <c r="U15" s="10">
        <f t="shared" si="5"/>
        <v>0.05</v>
      </c>
      <c r="V15" s="5">
        <f t="shared" si="6"/>
        <v>21.875</v>
      </c>
      <c r="W15" s="2">
        <f t="shared" si="11"/>
        <v>0.74621539663662761</v>
      </c>
      <c r="X15" s="5">
        <f t="shared" si="12"/>
        <v>16.32346180142623</v>
      </c>
      <c r="Y15" s="13">
        <f t="shared" si="13"/>
        <v>16.314137217409613</v>
      </c>
      <c r="Z15" s="5">
        <f t="shared" si="14"/>
        <v>16.332792603904814</v>
      </c>
    </row>
    <row r="16" spans="1:26" x14ac:dyDescent="0.2">
      <c r="B16" s="1" t="s">
        <v>38</v>
      </c>
      <c r="C16" s="18">
        <f>(SUM(Z3:Z103)-SUM(Y3:Y103))/(2*F3*C15/10000)</f>
        <v>7.7676777029182054</v>
      </c>
      <c r="J16" s="2">
        <f t="shared" si="0"/>
        <v>13</v>
      </c>
      <c r="K16" s="5">
        <f t="shared" si="1"/>
        <v>6.5</v>
      </c>
      <c r="L16" s="10">
        <f t="shared" si="15"/>
        <v>4.4223999999999999E-2</v>
      </c>
      <c r="M16" s="5">
        <f t="shared" si="2"/>
        <v>21.875</v>
      </c>
      <c r="N16" s="2">
        <f t="shared" si="7"/>
        <v>0.75481607558021913</v>
      </c>
      <c r="O16" s="5">
        <f t="shared" si="8"/>
        <v>16.511601653317292</v>
      </c>
      <c r="P16" s="13">
        <f t="shared" si="9"/>
        <v>16.501327336822211</v>
      </c>
      <c r="Q16" s="5">
        <f t="shared" si="10"/>
        <v>16.521883351854317</v>
      </c>
      <c r="S16" s="2">
        <f t="shared" si="3"/>
        <v>13</v>
      </c>
      <c r="T16" s="5">
        <f t="shared" si="4"/>
        <v>6.5</v>
      </c>
      <c r="U16" s="10">
        <f t="shared" si="5"/>
        <v>0.05</v>
      </c>
      <c r="V16" s="5">
        <f t="shared" si="6"/>
        <v>21.875</v>
      </c>
      <c r="W16" s="2">
        <f t="shared" si="11"/>
        <v>0.72823166001300332</v>
      </c>
      <c r="X16" s="5">
        <f t="shared" si="12"/>
        <v>15.930067562784448</v>
      </c>
      <c r="Y16" s="13">
        <f t="shared" si="13"/>
        <v>15.920209613392</v>
      </c>
      <c r="Z16" s="5">
        <f t="shared" si="14"/>
        <v>15.939932556084752</v>
      </c>
    </row>
    <row r="17" spans="2:26" x14ac:dyDescent="0.2">
      <c r="B17" s="1" t="s">
        <v>37</v>
      </c>
      <c r="C17" s="14">
        <f>(SUM(Q3:Q103)-SUM(P3:P103))/(2*F6*C15/10000)</f>
        <v>7.8470895672343595</v>
      </c>
      <c r="J17" s="2">
        <f t="shared" si="0"/>
        <v>14</v>
      </c>
      <c r="K17" s="5">
        <f t="shared" si="1"/>
        <v>7</v>
      </c>
      <c r="L17" s="10">
        <f t="shared" si="15"/>
        <v>4.4576000000000005E-2</v>
      </c>
      <c r="M17" s="5">
        <f t="shared" si="2"/>
        <v>21.875</v>
      </c>
      <c r="N17" s="2">
        <f t="shared" si="7"/>
        <v>0.73691890248435066</v>
      </c>
      <c r="O17" s="5">
        <f t="shared" si="8"/>
        <v>16.12010099184517</v>
      </c>
      <c r="P17" s="13">
        <f t="shared" si="9"/>
        <v>16.109302590464839</v>
      </c>
      <c r="Q17" s="5">
        <f t="shared" si="10"/>
        <v>16.1309076664675</v>
      </c>
      <c r="S17" s="2">
        <f t="shared" si="3"/>
        <v>14</v>
      </c>
      <c r="T17" s="5">
        <f t="shared" si="4"/>
        <v>7</v>
      </c>
      <c r="U17" s="10">
        <f t="shared" si="5"/>
        <v>0.05</v>
      </c>
      <c r="V17" s="5">
        <f t="shared" si="6"/>
        <v>21.875</v>
      </c>
      <c r="W17" s="2">
        <f t="shared" si="11"/>
        <v>0.71068133013012147</v>
      </c>
      <c r="X17" s="5">
        <f t="shared" si="12"/>
        <v>15.546154096596407</v>
      </c>
      <c r="Y17" s="13">
        <f t="shared" si="13"/>
        <v>15.53579394096716</v>
      </c>
      <c r="Z17" s="5">
        <f t="shared" si="14"/>
        <v>15.556522148685415</v>
      </c>
    </row>
    <row r="18" spans="2:26" x14ac:dyDescent="0.2">
      <c r="J18" s="2">
        <f t="shared" si="0"/>
        <v>15</v>
      </c>
      <c r="K18" s="5">
        <f t="shared" si="1"/>
        <v>7.5</v>
      </c>
      <c r="L18" s="10">
        <f t="shared" si="15"/>
        <v>4.4576000000000005E-2</v>
      </c>
      <c r="M18" s="5">
        <f t="shared" si="2"/>
        <v>21.875</v>
      </c>
      <c r="N18" s="2">
        <f t="shared" si="7"/>
        <v>0.72102392374496493</v>
      </c>
      <c r="O18" s="5">
        <f t="shared" si="8"/>
        <v>15.772398331921108</v>
      </c>
      <c r="P18" s="13">
        <f t="shared" si="9"/>
        <v>15.761078440121944</v>
      </c>
      <c r="Q18" s="5">
        <f t="shared" si="10"/>
        <v>15.783727438774012</v>
      </c>
      <c r="S18" s="2">
        <f t="shared" si="3"/>
        <v>15</v>
      </c>
      <c r="T18" s="5">
        <f t="shared" si="4"/>
        <v>7.5</v>
      </c>
      <c r="U18" s="10">
        <f t="shared" si="5"/>
        <v>0.05</v>
      </c>
      <c r="V18" s="5">
        <f t="shared" si="6"/>
        <v>21.875</v>
      </c>
      <c r="W18" s="2">
        <f t="shared" si="11"/>
        <v>0.69355396191714602</v>
      </c>
      <c r="X18" s="5">
        <f t="shared" si="12"/>
        <v>15.17149291693757</v>
      </c>
      <c r="Y18" s="13">
        <f t="shared" si="13"/>
        <v>15.160660521276068</v>
      </c>
      <c r="Z18" s="5">
        <f t="shared" si="14"/>
        <v>15.182334085231691</v>
      </c>
    </row>
    <row r="19" spans="2:26" x14ac:dyDescent="0.2">
      <c r="B19" s="115" t="s">
        <v>39</v>
      </c>
      <c r="C19" s="115"/>
      <c r="J19" s="2">
        <f t="shared" si="0"/>
        <v>16</v>
      </c>
      <c r="K19" s="5">
        <f t="shared" si="1"/>
        <v>8</v>
      </c>
      <c r="L19" s="10">
        <f t="shared" si="15"/>
        <v>4.4576000000000005E-2</v>
      </c>
      <c r="M19" s="5">
        <f t="shared" si="2"/>
        <v>21.875</v>
      </c>
      <c r="N19" s="2">
        <f t="shared" si="7"/>
        <v>0.70547179188910203</v>
      </c>
      <c r="O19" s="5">
        <f t="shared" si="8"/>
        <v>15.432195447574108</v>
      </c>
      <c r="P19" s="13">
        <f t="shared" si="9"/>
        <v>15.420381621157984</v>
      </c>
      <c r="Q19" s="5">
        <f t="shared" si="10"/>
        <v>15.444019457093798</v>
      </c>
      <c r="S19" s="2">
        <f t="shared" si="3"/>
        <v>16</v>
      </c>
      <c r="T19" s="5">
        <f t="shared" si="4"/>
        <v>8</v>
      </c>
      <c r="U19" s="10">
        <f t="shared" si="5"/>
        <v>0.05</v>
      </c>
      <c r="V19" s="5">
        <f t="shared" si="6"/>
        <v>21.875</v>
      </c>
      <c r="W19" s="2">
        <f t="shared" si="11"/>
        <v>0.67683936202868722</v>
      </c>
      <c r="X19" s="5">
        <f t="shared" si="12"/>
        <v>14.805861044377533</v>
      </c>
      <c r="Y19" s="13">
        <f t="shared" si="13"/>
        <v>14.794585221376211</v>
      </c>
      <c r="Z19" s="5">
        <f t="shared" si="14"/>
        <v>14.817146536513393</v>
      </c>
    </row>
    <row r="20" spans="2:26" x14ac:dyDescent="0.2">
      <c r="B20" s="1" t="s">
        <v>40</v>
      </c>
      <c r="C20" s="17">
        <f>C21*C22*C23</f>
        <v>110400000</v>
      </c>
      <c r="J20" s="2">
        <f t="shared" si="0"/>
        <v>17</v>
      </c>
      <c r="K20" s="5">
        <f t="shared" si="1"/>
        <v>8.5</v>
      </c>
      <c r="L20" s="10">
        <f t="shared" si="15"/>
        <v>4.4576000000000005E-2</v>
      </c>
      <c r="M20" s="5">
        <f t="shared" si="2"/>
        <v>21.875</v>
      </c>
      <c r="N20" s="2">
        <f t="shared" si="7"/>
        <v>0.69025511187789601</v>
      </c>
      <c r="O20" s="5">
        <f t="shared" si="8"/>
        <v>15.099330572328975</v>
      </c>
      <c r="P20" s="13">
        <f t="shared" si="9"/>
        <v>15.087049420224021</v>
      </c>
      <c r="Q20" s="5">
        <f t="shared" si="10"/>
        <v>15.111622898730094</v>
      </c>
      <c r="S20" s="2">
        <f t="shared" si="3"/>
        <v>17</v>
      </c>
      <c r="T20" s="5">
        <f t="shared" si="4"/>
        <v>8.5</v>
      </c>
      <c r="U20" s="10">
        <f t="shared" si="5"/>
        <v>0.05</v>
      </c>
      <c r="V20" s="5">
        <f t="shared" si="6"/>
        <v>21.875</v>
      </c>
      <c r="W20" s="2">
        <f t="shared" si="11"/>
        <v>0.66052758277823431</v>
      </c>
      <c r="X20" s="5">
        <f t="shared" si="12"/>
        <v>14.449040873273876</v>
      </c>
      <c r="Y20" s="13">
        <f t="shared" si="13"/>
        <v>14.437349320327652</v>
      </c>
      <c r="Z20" s="5">
        <f t="shared" si="14"/>
        <v>14.460743009078664</v>
      </c>
    </row>
    <row r="21" spans="2:26" x14ac:dyDescent="0.2">
      <c r="B21" s="1" t="s">
        <v>41</v>
      </c>
      <c r="C21" s="12">
        <v>8000000000</v>
      </c>
      <c r="J21" s="2">
        <f t="shared" si="0"/>
        <v>18</v>
      </c>
      <c r="K21" s="5">
        <f t="shared" si="1"/>
        <v>9</v>
      </c>
      <c r="L21" s="10">
        <f t="shared" si="15"/>
        <v>4.4576000000000005E-2</v>
      </c>
      <c r="M21" s="5">
        <f t="shared" si="2"/>
        <v>21.875</v>
      </c>
      <c r="N21" s="2">
        <f t="shared" si="7"/>
        <v>0.6753666481798376</v>
      </c>
      <c r="O21" s="5">
        <f t="shared" si="8"/>
        <v>14.773645428933948</v>
      </c>
      <c r="P21" s="13">
        <f t="shared" si="9"/>
        <v>14.760922641238034</v>
      </c>
      <c r="Q21" s="5">
        <f t="shared" si="10"/>
        <v>14.786380402320205</v>
      </c>
      <c r="S21" s="2">
        <f t="shared" si="3"/>
        <v>18</v>
      </c>
      <c r="T21" s="5">
        <f t="shared" si="4"/>
        <v>9</v>
      </c>
      <c r="U21" s="10">
        <f t="shared" si="5"/>
        <v>0.05</v>
      </c>
      <c r="V21" s="5">
        <f t="shared" si="6"/>
        <v>21.875</v>
      </c>
      <c r="W21" s="2">
        <f t="shared" si="11"/>
        <v>0.64460891621779726</v>
      </c>
      <c r="X21" s="5">
        <f t="shared" si="12"/>
        <v>14.100820042264315</v>
      </c>
      <c r="Y21" s="13">
        <f t="shared" si="13"/>
        <v>14.08873937851272</v>
      </c>
      <c r="Z21" s="5">
        <f t="shared" si="14"/>
        <v>14.112912216890555</v>
      </c>
    </row>
    <row r="22" spans="2:26" x14ac:dyDescent="0.2">
      <c r="B22" s="1" t="s">
        <v>42</v>
      </c>
      <c r="C22" s="16">
        <v>2.3E-2</v>
      </c>
      <c r="J22" s="2">
        <f t="shared" si="0"/>
        <v>19</v>
      </c>
      <c r="K22" s="5">
        <f t="shared" si="1"/>
        <v>9.5</v>
      </c>
      <c r="L22" s="10">
        <f t="shared" si="15"/>
        <v>4.4576000000000005E-2</v>
      </c>
      <c r="M22" s="5">
        <f t="shared" si="2"/>
        <v>21.875</v>
      </c>
      <c r="N22" s="2">
        <f t="shared" si="7"/>
        <v>0.66079932133027763</v>
      </c>
      <c r="O22" s="5">
        <f t="shared" si="8"/>
        <v>14.454985154099823</v>
      </c>
      <c r="P22" s="13">
        <f t="shared" si="9"/>
        <v>14.441845529354575</v>
      </c>
      <c r="Q22" s="5">
        <f t="shared" si="10"/>
        <v>14.468137993338374</v>
      </c>
      <c r="S22" s="2">
        <f t="shared" si="3"/>
        <v>19</v>
      </c>
      <c r="T22" s="5">
        <f t="shared" si="4"/>
        <v>9.5</v>
      </c>
      <c r="U22" s="10">
        <f t="shared" si="5"/>
        <v>0.05</v>
      </c>
      <c r="V22" s="5">
        <f t="shared" si="6"/>
        <v>21.875</v>
      </c>
      <c r="W22" s="2">
        <f t="shared" si="11"/>
        <v>0.62907388836022304</v>
      </c>
      <c r="X22" s="5">
        <f t="shared" si="12"/>
        <v>13.760991307879879</v>
      </c>
      <c r="Y22" s="13">
        <f t="shared" si="13"/>
        <v>13.748547110111085</v>
      </c>
      <c r="Z22" s="5">
        <f t="shared" si="14"/>
        <v>13.773447956070733</v>
      </c>
    </row>
    <row r="23" spans="2:26" x14ac:dyDescent="0.2">
      <c r="B23" s="1" t="s">
        <v>43</v>
      </c>
      <c r="C23" s="16">
        <v>0.6</v>
      </c>
      <c r="J23" s="2">
        <f t="shared" si="0"/>
        <v>20</v>
      </c>
      <c r="K23" s="5">
        <f t="shared" si="1"/>
        <v>10</v>
      </c>
      <c r="L23" s="10">
        <f t="shared" si="15"/>
        <v>4.4576000000000005E-2</v>
      </c>
      <c r="M23" s="5">
        <f>IF(K23="","",IF(K23&lt;$C$4,$C$7,IF(K23=$C$4,$C$3+$C$7)))</f>
        <v>1021.875</v>
      </c>
      <c r="N23" s="2">
        <f>IF(ISNUMBER(K23),1/(1+L23)^K23,"")</f>
        <v>0.64654620456514189</v>
      </c>
      <c r="O23" s="5">
        <f t="shared" si="8"/>
        <v>660.68940279000435</v>
      </c>
      <c r="P23" s="13">
        <f t="shared" si="9"/>
        <v>660.05724039727386</v>
      </c>
      <c r="Q23" s="5">
        <f t="shared" si="10"/>
        <v>661.32223123757842</v>
      </c>
      <c r="S23" s="2">
        <f t="shared" si="3"/>
        <v>20</v>
      </c>
      <c r="T23" s="5">
        <f t="shared" si="4"/>
        <v>10</v>
      </c>
      <c r="U23" s="10">
        <f t="shared" si="5"/>
        <v>0.05</v>
      </c>
      <c r="V23" s="5">
        <f t="shared" si="6"/>
        <v>1021.875</v>
      </c>
      <c r="W23" s="2">
        <f t="shared" si="11"/>
        <v>0.61391325354075932</v>
      </c>
      <c r="X23" s="5">
        <f t="shared" si="12"/>
        <v>627.34260596196339</v>
      </c>
      <c r="Y23" s="13">
        <f t="shared" si="13"/>
        <v>626.74544965427242</v>
      </c>
      <c r="Z23" s="5">
        <f t="shared" si="14"/>
        <v>627.94038818978822</v>
      </c>
    </row>
    <row r="24" spans="2:26" x14ac:dyDescent="0.2">
      <c r="J24" s="2" t="str">
        <f t="shared" si="0"/>
        <v/>
      </c>
      <c r="K24" s="5" t="str">
        <f t="shared" si="1"/>
        <v/>
      </c>
      <c r="L24" s="10" t="str">
        <f t="shared" si="15"/>
        <v/>
      </c>
      <c r="M24" s="5" t="str">
        <f t="shared" si="2"/>
        <v/>
      </c>
      <c r="N24" s="2" t="str">
        <f t="shared" si="7"/>
        <v/>
      </c>
      <c r="O24" s="5" t="str">
        <f t="shared" si="8"/>
        <v/>
      </c>
      <c r="P24" s="13" t="str">
        <f t="shared" si="9"/>
        <v/>
      </c>
      <c r="Q24" s="5" t="str">
        <f t="shared" si="10"/>
        <v/>
      </c>
      <c r="S24" s="2" t="str">
        <f t="shared" si="3"/>
        <v/>
      </c>
      <c r="T24" s="5" t="str">
        <f t="shared" si="4"/>
        <v/>
      </c>
      <c r="U24" s="10" t="str">
        <f t="shared" si="5"/>
        <v/>
      </c>
      <c r="V24" s="5" t="str">
        <f t="shared" si="6"/>
        <v/>
      </c>
      <c r="W24" s="2" t="str">
        <f t="shared" si="11"/>
        <v/>
      </c>
      <c r="X24" s="5" t="str">
        <f t="shared" si="12"/>
        <v/>
      </c>
      <c r="Y24" s="13" t="str">
        <f t="shared" si="13"/>
        <v/>
      </c>
      <c r="Z24" s="5" t="str">
        <f t="shared" si="14"/>
        <v/>
      </c>
    </row>
    <row r="25" spans="2:26" x14ac:dyDescent="0.2">
      <c r="J25" s="2" t="str">
        <f t="shared" si="0"/>
        <v/>
      </c>
      <c r="K25" s="5" t="str">
        <f t="shared" si="1"/>
        <v/>
      </c>
      <c r="L25" s="10" t="str">
        <f t="shared" si="15"/>
        <v/>
      </c>
      <c r="M25" s="5" t="str">
        <f t="shared" si="2"/>
        <v/>
      </c>
      <c r="N25" s="2" t="str">
        <f t="shared" si="7"/>
        <v/>
      </c>
      <c r="O25" s="5" t="str">
        <f t="shared" si="8"/>
        <v/>
      </c>
      <c r="P25" s="13" t="str">
        <f t="shared" si="9"/>
        <v/>
      </c>
      <c r="Q25" s="5" t="str">
        <f t="shared" si="10"/>
        <v/>
      </c>
      <c r="S25" s="2" t="str">
        <f t="shared" si="3"/>
        <v/>
      </c>
      <c r="T25" s="5" t="str">
        <f t="shared" si="4"/>
        <v/>
      </c>
      <c r="U25" s="10" t="str">
        <f t="shared" si="5"/>
        <v/>
      </c>
      <c r="V25" s="5" t="str">
        <f t="shared" si="6"/>
        <v/>
      </c>
      <c r="W25" s="2" t="str">
        <f t="shared" si="11"/>
        <v/>
      </c>
      <c r="X25" s="5" t="str">
        <f t="shared" si="12"/>
        <v/>
      </c>
      <c r="Y25" s="13" t="str">
        <f t="shared" si="13"/>
        <v/>
      </c>
      <c r="Z25" s="5" t="str">
        <f t="shared" si="14"/>
        <v/>
      </c>
    </row>
    <row r="26" spans="2:26" x14ac:dyDescent="0.2">
      <c r="J26" s="2" t="str">
        <f t="shared" si="0"/>
        <v/>
      </c>
      <c r="K26" s="5" t="str">
        <f t="shared" si="1"/>
        <v/>
      </c>
      <c r="L26" s="10" t="str">
        <f t="shared" si="15"/>
        <v/>
      </c>
      <c r="M26" s="5" t="str">
        <f t="shared" si="2"/>
        <v/>
      </c>
      <c r="N26" s="2" t="str">
        <f t="shared" si="7"/>
        <v/>
      </c>
      <c r="O26" s="5" t="str">
        <f t="shared" si="8"/>
        <v/>
      </c>
      <c r="P26" s="13" t="str">
        <f t="shared" si="9"/>
        <v/>
      </c>
      <c r="Q26" s="5" t="str">
        <f t="shared" si="10"/>
        <v/>
      </c>
      <c r="S26" s="2" t="str">
        <f t="shared" si="3"/>
        <v/>
      </c>
      <c r="T26" s="5" t="str">
        <f t="shared" si="4"/>
        <v/>
      </c>
      <c r="U26" s="10" t="str">
        <f t="shared" si="5"/>
        <v/>
      </c>
      <c r="V26" s="5" t="str">
        <f t="shared" si="6"/>
        <v/>
      </c>
      <c r="W26" s="2" t="str">
        <f t="shared" si="11"/>
        <v/>
      </c>
      <c r="X26" s="5" t="str">
        <f t="shared" si="12"/>
        <v/>
      </c>
      <c r="Y26" s="13" t="str">
        <f t="shared" si="13"/>
        <v/>
      </c>
      <c r="Z26" s="5" t="str">
        <f t="shared" si="14"/>
        <v/>
      </c>
    </row>
    <row r="27" spans="2:26" x14ac:dyDescent="0.2">
      <c r="J27" s="2" t="str">
        <f t="shared" si="0"/>
        <v/>
      </c>
      <c r="K27" s="5" t="str">
        <f t="shared" si="1"/>
        <v/>
      </c>
      <c r="L27" s="10" t="str">
        <f t="shared" si="15"/>
        <v/>
      </c>
      <c r="M27" s="5" t="str">
        <f t="shared" si="2"/>
        <v/>
      </c>
      <c r="N27" s="2" t="str">
        <f t="shared" si="7"/>
        <v/>
      </c>
      <c r="O27" s="5" t="str">
        <f t="shared" si="8"/>
        <v/>
      </c>
      <c r="P27" s="13" t="str">
        <f t="shared" si="9"/>
        <v/>
      </c>
      <c r="Q27" s="5" t="str">
        <f t="shared" si="10"/>
        <v/>
      </c>
      <c r="S27" s="2" t="str">
        <f t="shared" si="3"/>
        <v/>
      </c>
      <c r="T27" s="5" t="str">
        <f t="shared" si="4"/>
        <v/>
      </c>
      <c r="U27" s="10" t="str">
        <f t="shared" si="5"/>
        <v/>
      </c>
      <c r="V27" s="5" t="str">
        <f t="shared" si="6"/>
        <v/>
      </c>
      <c r="W27" s="2" t="str">
        <f t="shared" si="11"/>
        <v/>
      </c>
      <c r="X27" s="5" t="str">
        <f t="shared" si="12"/>
        <v/>
      </c>
      <c r="Y27" s="13" t="str">
        <f t="shared" si="13"/>
        <v/>
      </c>
      <c r="Z27" s="5" t="str">
        <f t="shared" si="14"/>
        <v/>
      </c>
    </row>
    <row r="28" spans="2:26" x14ac:dyDescent="0.2">
      <c r="J28" s="2" t="str">
        <f t="shared" si="0"/>
        <v/>
      </c>
      <c r="K28" s="5" t="str">
        <f t="shared" si="1"/>
        <v/>
      </c>
      <c r="L28" s="10" t="str">
        <f t="shared" si="15"/>
        <v/>
      </c>
      <c r="M28" s="5" t="str">
        <f t="shared" si="2"/>
        <v/>
      </c>
      <c r="N28" s="2" t="str">
        <f t="shared" si="7"/>
        <v/>
      </c>
      <c r="O28" s="5" t="str">
        <f t="shared" si="8"/>
        <v/>
      </c>
      <c r="P28" s="13" t="str">
        <f t="shared" si="9"/>
        <v/>
      </c>
      <c r="Q28" s="5" t="str">
        <f t="shared" si="10"/>
        <v/>
      </c>
      <c r="S28" s="2" t="str">
        <f t="shared" si="3"/>
        <v/>
      </c>
      <c r="T28" s="5" t="str">
        <f t="shared" si="4"/>
        <v/>
      </c>
      <c r="U28" s="10" t="str">
        <f t="shared" si="5"/>
        <v/>
      </c>
      <c r="V28" s="5" t="str">
        <f t="shared" si="6"/>
        <v/>
      </c>
      <c r="W28" s="2" t="str">
        <f t="shared" si="11"/>
        <v/>
      </c>
      <c r="X28" s="5" t="str">
        <f t="shared" si="12"/>
        <v/>
      </c>
      <c r="Y28" s="13" t="str">
        <f t="shared" si="13"/>
        <v/>
      </c>
      <c r="Z28" s="5" t="str">
        <f t="shared" si="14"/>
        <v/>
      </c>
    </row>
    <row r="29" spans="2:26" x14ac:dyDescent="0.2">
      <c r="J29" s="2" t="str">
        <f t="shared" si="0"/>
        <v/>
      </c>
      <c r="K29" s="5" t="str">
        <f t="shared" si="1"/>
        <v/>
      </c>
      <c r="L29" s="10" t="str">
        <f t="shared" si="15"/>
        <v/>
      </c>
      <c r="M29" s="5" t="str">
        <f t="shared" si="2"/>
        <v/>
      </c>
      <c r="N29" s="2" t="str">
        <f t="shared" si="7"/>
        <v/>
      </c>
      <c r="O29" s="5" t="str">
        <f t="shared" si="8"/>
        <v/>
      </c>
      <c r="P29" s="13" t="str">
        <f t="shared" si="9"/>
        <v/>
      </c>
      <c r="Q29" s="5" t="str">
        <f t="shared" si="10"/>
        <v/>
      </c>
      <c r="S29" s="2" t="str">
        <f t="shared" si="3"/>
        <v/>
      </c>
      <c r="T29" s="5" t="str">
        <f t="shared" si="4"/>
        <v/>
      </c>
      <c r="U29" s="10" t="str">
        <f t="shared" si="5"/>
        <v/>
      </c>
      <c r="V29" s="5" t="str">
        <f t="shared" si="6"/>
        <v/>
      </c>
      <c r="W29" s="2" t="str">
        <f t="shared" si="11"/>
        <v/>
      </c>
      <c r="X29" s="5" t="str">
        <f t="shared" si="12"/>
        <v/>
      </c>
      <c r="Y29" s="13" t="str">
        <f t="shared" si="13"/>
        <v/>
      </c>
      <c r="Z29" s="5" t="str">
        <f t="shared" si="14"/>
        <v/>
      </c>
    </row>
    <row r="30" spans="2:26" x14ac:dyDescent="0.2">
      <c r="J30" s="2" t="str">
        <f t="shared" si="0"/>
        <v/>
      </c>
      <c r="K30" s="5" t="str">
        <f t="shared" si="1"/>
        <v/>
      </c>
      <c r="L30" s="10" t="str">
        <f t="shared" si="15"/>
        <v/>
      </c>
      <c r="M30" s="5" t="str">
        <f t="shared" si="2"/>
        <v/>
      </c>
      <c r="N30" s="2" t="str">
        <f t="shared" si="7"/>
        <v/>
      </c>
      <c r="O30" s="5" t="str">
        <f t="shared" si="8"/>
        <v/>
      </c>
      <c r="P30" s="13" t="str">
        <f t="shared" si="9"/>
        <v/>
      </c>
      <c r="Q30" s="5" t="str">
        <f t="shared" si="10"/>
        <v/>
      </c>
      <c r="S30" s="2" t="str">
        <f t="shared" si="3"/>
        <v/>
      </c>
      <c r="T30" s="5" t="str">
        <f t="shared" si="4"/>
        <v/>
      </c>
      <c r="U30" s="10" t="str">
        <f t="shared" si="5"/>
        <v/>
      </c>
      <c r="V30" s="5" t="str">
        <f t="shared" si="6"/>
        <v/>
      </c>
      <c r="W30" s="2" t="str">
        <f t="shared" si="11"/>
        <v/>
      </c>
      <c r="X30" s="5" t="str">
        <f t="shared" si="12"/>
        <v/>
      </c>
      <c r="Y30" s="13" t="str">
        <f t="shared" si="13"/>
        <v/>
      </c>
      <c r="Z30" s="5" t="str">
        <f t="shared" si="14"/>
        <v/>
      </c>
    </row>
    <row r="31" spans="2:26" x14ac:dyDescent="0.2">
      <c r="J31" s="2" t="str">
        <f t="shared" si="0"/>
        <v/>
      </c>
      <c r="K31" s="5" t="str">
        <f t="shared" si="1"/>
        <v/>
      </c>
      <c r="L31" s="10" t="str">
        <f t="shared" si="15"/>
        <v/>
      </c>
      <c r="M31" s="5" t="str">
        <f t="shared" si="2"/>
        <v/>
      </c>
      <c r="N31" s="2" t="str">
        <f t="shared" si="7"/>
        <v/>
      </c>
      <c r="O31" s="5" t="str">
        <f t="shared" si="8"/>
        <v/>
      </c>
      <c r="P31" s="13" t="str">
        <f t="shared" si="9"/>
        <v/>
      </c>
      <c r="Q31" s="5" t="str">
        <f t="shared" si="10"/>
        <v/>
      </c>
      <c r="S31" s="2" t="str">
        <f t="shared" si="3"/>
        <v/>
      </c>
      <c r="T31" s="5" t="str">
        <f t="shared" si="4"/>
        <v/>
      </c>
      <c r="U31" s="10" t="str">
        <f t="shared" si="5"/>
        <v/>
      </c>
      <c r="V31" s="5" t="str">
        <f t="shared" si="6"/>
        <v/>
      </c>
      <c r="W31" s="2" t="str">
        <f t="shared" si="11"/>
        <v/>
      </c>
      <c r="X31" s="5" t="str">
        <f t="shared" si="12"/>
        <v/>
      </c>
      <c r="Y31" s="13" t="str">
        <f t="shared" si="13"/>
        <v/>
      </c>
      <c r="Z31" s="5" t="str">
        <f t="shared" si="14"/>
        <v/>
      </c>
    </row>
    <row r="32" spans="2:26" x14ac:dyDescent="0.2">
      <c r="J32" s="2" t="str">
        <f t="shared" si="0"/>
        <v/>
      </c>
      <c r="K32" s="5" t="str">
        <f t="shared" si="1"/>
        <v/>
      </c>
      <c r="L32" s="10" t="str">
        <f t="shared" si="15"/>
        <v/>
      </c>
      <c r="M32" s="5" t="str">
        <f t="shared" si="2"/>
        <v/>
      </c>
      <c r="N32" s="2" t="str">
        <f t="shared" si="7"/>
        <v/>
      </c>
      <c r="O32" s="5" t="str">
        <f t="shared" si="8"/>
        <v/>
      </c>
      <c r="P32" s="13" t="str">
        <f t="shared" si="9"/>
        <v/>
      </c>
      <c r="Q32" s="5" t="str">
        <f t="shared" si="10"/>
        <v/>
      </c>
      <c r="S32" s="2" t="str">
        <f t="shared" si="3"/>
        <v/>
      </c>
      <c r="T32" s="5" t="str">
        <f t="shared" si="4"/>
        <v/>
      </c>
      <c r="U32" s="10" t="str">
        <f t="shared" si="5"/>
        <v/>
      </c>
      <c r="V32" s="5" t="str">
        <f t="shared" si="6"/>
        <v/>
      </c>
      <c r="W32" s="2" t="str">
        <f t="shared" si="11"/>
        <v/>
      </c>
      <c r="X32" s="5" t="str">
        <f t="shared" si="12"/>
        <v/>
      </c>
      <c r="Y32" s="13" t="str">
        <f t="shared" si="13"/>
        <v/>
      </c>
      <c r="Z32" s="5" t="str">
        <f t="shared" si="14"/>
        <v/>
      </c>
    </row>
    <row r="33" spans="10:26" x14ac:dyDescent="0.2">
      <c r="J33" s="2" t="str">
        <f t="shared" si="0"/>
        <v/>
      </c>
      <c r="K33" s="5" t="str">
        <f t="shared" si="1"/>
        <v/>
      </c>
      <c r="L33" s="10" t="str">
        <f t="shared" si="15"/>
        <v/>
      </c>
      <c r="M33" s="5" t="str">
        <f t="shared" si="2"/>
        <v/>
      </c>
      <c r="N33" s="2" t="str">
        <f t="shared" si="7"/>
        <v/>
      </c>
      <c r="O33" s="5" t="str">
        <f t="shared" si="8"/>
        <v/>
      </c>
      <c r="P33" s="13" t="str">
        <f t="shared" si="9"/>
        <v/>
      </c>
      <c r="Q33" s="5" t="str">
        <f t="shared" si="10"/>
        <v/>
      </c>
      <c r="S33" s="2" t="str">
        <f t="shared" si="3"/>
        <v/>
      </c>
      <c r="T33" s="5" t="str">
        <f t="shared" si="4"/>
        <v/>
      </c>
      <c r="U33" s="10" t="str">
        <f t="shared" si="5"/>
        <v/>
      </c>
      <c r="V33" s="5" t="str">
        <f t="shared" si="6"/>
        <v/>
      </c>
      <c r="W33" s="2" t="str">
        <f t="shared" si="11"/>
        <v/>
      </c>
      <c r="X33" s="5" t="str">
        <f t="shared" si="12"/>
        <v/>
      </c>
      <c r="Y33" s="13" t="str">
        <f t="shared" si="13"/>
        <v/>
      </c>
      <c r="Z33" s="5" t="str">
        <f t="shared" si="14"/>
        <v/>
      </c>
    </row>
    <row r="34" spans="10:26" x14ac:dyDescent="0.2">
      <c r="J34" s="2" t="str">
        <f t="shared" si="0"/>
        <v/>
      </c>
      <c r="K34" s="5" t="str">
        <f t="shared" si="1"/>
        <v/>
      </c>
      <c r="L34" s="10" t="str">
        <f t="shared" si="15"/>
        <v/>
      </c>
      <c r="M34" s="5" t="str">
        <f t="shared" si="2"/>
        <v/>
      </c>
      <c r="N34" s="2" t="str">
        <f t="shared" si="7"/>
        <v/>
      </c>
      <c r="O34" s="5" t="str">
        <f t="shared" si="8"/>
        <v/>
      </c>
      <c r="P34" s="13" t="str">
        <f t="shared" si="9"/>
        <v/>
      </c>
      <c r="Q34" s="5" t="str">
        <f t="shared" si="10"/>
        <v/>
      </c>
      <c r="S34" s="2" t="str">
        <f t="shared" si="3"/>
        <v/>
      </c>
      <c r="T34" s="5" t="str">
        <f t="shared" si="4"/>
        <v/>
      </c>
      <c r="U34" s="10" t="str">
        <f t="shared" si="5"/>
        <v/>
      </c>
      <c r="V34" s="5" t="str">
        <f t="shared" si="6"/>
        <v/>
      </c>
      <c r="W34" s="2" t="str">
        <f t="shared" si="11"/>
        <v/>
      </c>
      <c r="X34" s="5" t="str">
        <f t="shared" si="12"/>
        <v/>
      </c>
      <c r="Y34" s="13" t="str">
        <f t="shared" si="13"/>
        <v/>
      </c>
      <c r="Z34" s="5" t="str">
        <f t="shared" si="14"/>
        <v/>
      </c>
    </row>
    <row r="35" spans="10:26" x14ac:dyDescent="0.2">
      <c r="J35" s="2" t="str">
        <f t="shared" si="0"/>
        <v/>
      </c>
      <c r="K35" s="5" t="str">
        <f t="shared" si="1"/>
        <v/>
      </c>
      <c r="L35" s="10" t="str">
        <f t="shared" si="15"/>
        <v/>
      </c>
      <c r="M35" s="5" t="str">
        <f t="shared" si="2"/>
        <v/>
      </c>
      <c r="N35" s="2" t="str">
        <f t="shared" si="7"/>
        <v/>
      </c>
      <c r="O35" s="5" t="str">
        <f t="shared" si="8"/>
        <v/>
      </c>
      <c r="P35" s="13" t="str">
        <f t="shared" si="9"/>
        <v/>
      </c>
      <c r="Q35" s="5" t="str">
        <f t="shared" si="10"/>
        <v/>
      </c>
      <c r="S35" s="2" t="str">
        <f t="shared" si="3"/>
        <v/>
      </c>
      <c r="T35" s="5" t="str">
        <f t="shared" si="4"/>
        <v/>
      </c>
      <c r="U35" s="10" t="str">
        <f t="shared" si="5"/>
        <v/>
      </c>
      <c r="V35" s="5" t="str">
        <f t="shared" si="6"/>
        <v/>
      </c>
      <c r="W35" s="2" t="str">
        <f t="shared" si="11"/>
        <v/>
      </c>
      <c r="X35" s="5" t="str">
        <f t="shared" si="12"/>
        <v/>
      </c>
      <c r="Y35" s="13" t="str">
        <f t="shared" si="13"/>
        <v/>
      </c>
      <c r="Z35" s="5" t="str">
        <f t="shared" si="14"/>
        <v/>
      </c>
    </row>
    <row r="36" spans="10:26" x14ac:dyDescent="0.2">
      <c r="J36" s="2" t="str">
        <f t="shared" ref="J36:J67" si="16">IF(J35="","",IF(J35=$C$4*$C$6,"",J35+1))</f>
        <v/>
      </c>
      <c r="K36" s="5" t="str">
        <f t="shared" ref="K36:K67" si="17">IF(K35="","",IF(K35=$C$4,"",K35+1/$C$6))</f>
        <v/>
      </c>
      <c r="L36" s="10" t="str">
        <f t="shared" si="15"/>
        <v/>
      </c>
      <c r="M36" s="5" t="str">
        <f t="shared" ref="M36:M67" si="18">IF(K36="","",IF(K36&lt;$C$4,$C$7,IF(K36=$C$4,$C$3+$C$7)))</f>
        <v/>
      </c>
      <c r="N36" s="2" t="str">
        <f t="shared" si="7"/>
        <v/>
      </c>
      <c r="O36" s="5" t="str">
        <f t="shared" si="8"/>
        <v/>
      </c>
      <c r="P36" s="13" t="str">
        <f t="shared" si="9"/>
        <v/>
      </c>
      <c r="Q36" s="5" t="str">
        <f t="shared" si="10"/>
        <v/>
      </c>
      <c r="S36" s="2" t="str">
        <f t="shared" ref="S36:S67" si="19">IF(S35="","",IF(S35=$C$4*$C$6,"",S35+1))</f>
        <v/>
      </c>
      <c r="T36" s="5" t="str">
        <f t="shared" ref="T36:T67" si="20">IF(T35="","",IF(T35=$C$4,"",T35+1/$C$6))</f>
        <v/>
      </c>
      <c r="U36" s="10" t="str">
        <f t="shared" ref="U36:U67" si="21">IF(ISNUMBER(S36),$C$9,"")</f>
        <v/>
      </c>
      <c r="V36" s="5" t="str">
        <f t="shared" ref="V36:V67" si="22">IF(T36="","",IF(T36&lt;$C$4,$C$7,IF(T36=$C$4,$C$3+$C$7)))</f>
        <v/>
      </c>
      <c r="W36" s="2" t="str">
        <f t="shared" si="11"/>
        <v/>
      </c>
      <c r="X36" s="5" t="str">
        <f t="shared" si="12"/>
        <v/>
      </c>
      <c r="Y36" s="13" t="str">
        <f t="shared" si="13"/>
        <v/>
      </c>
      <c r="Z36" s="5" t="str">
        <f t="shared" si="14"/>
        <v/>
      </c>
    </row>
    <row r="37" spans="10:26" x14ac:dyDescent="0.2">
      <c r="J37" s="2" t="str">
        <f t="shared" si="16"/>
        <v/>
      </c>
      <c r="K37" s="5" t="str">
        <f t="shared" si="17"/>
        <v/>
      </c>
      <c r="L37" s="10" t="str">
        <f t="shared" si="15"/>
        <v/>
      </c>
      <c r="M37" s="5" t="str">
        <f t="shared" si="18"/>
        <v/>
      </c>
      <c r="N37" s="2" t="str">
        <f t="shared" si="7"/>
        <v/>
      </c>
      <c r="O37" s="5" t="str">
        <f t="shared" si="8"/>
        <v/>
      </c>
      <c r="P37" s="13" t="str">
        <f t="shared" si="9"/>
        <v/>
      </c>
      <c r="Q37" s="5" t="str">
        <f t="shared" si="10"/>
        <v/>
      </c>
      <c r="S37" s="2" t="str">
        <f t="shared" si="19"/>
        <v/>
      </c>
      <c r="T37" s="5" t="str">
        <f t="shared" si="20"/>
        <v/>
      </c>
      <c r="U37" s="10" t="str">
        <f t="shared" si="21"/>
        <v/>
      </c>
      <c r="V37" s="5" t="str">
        <f t="shared" si="22"/>
        <v/>
      </c>
      <c r="W37" s="2" t="str">
        <f t="shared" si="11"/>
        <v/>
      </c>
      <c r="X37" s="5" t="str">
        <f t="shared" si="12"/>
        <v/>
      </c>
      <c r="Y37" s="13" t="str">
        <f t="shared" si="13"/>
        <v/>
      </c>
      <c r="Z37" s="5" t="str">
        <f t="shared" si="14"/>
        <v/>
      </c>
    </row>
    <row r="38" spans="10:26" x14ac:dyDescent="0.2">
      <c r="J38" s="2" t="str">
        <f t="shared" si="16"/>
        <v/>
      </c>
      <c r="K38" s="5" t="str">
        <f t="shared" si="17"/>
        <v/>
      </c>
      <c r="L38" s="10" t="str">
        <f t="shared" si="15"/>
        <v/>
      </c>
      <c r="M38" s="5" t="str">
        <f t="shared" si="18"/>
        <v/>
      </c>
      <c r="N38" s="2" t="str">
        <f t="shared" si="7"/>
        <v/>
      </c>
      <c r="O38" s="5" t="str">
        <f t="shared" si="8"/>
        <v/>
      </c>
      <c r="P38" s="13" t="str">
        <f t="shared" si="9"/>
        <v/>
      </c>
      <c r="Q38" s="5" t="str">
        <f t="shared" si="10"/>
        <v/>
      </c>
      <c r="S38" s="2" t="str">
        <f t="shared" si="19"/>
        <v/>
      </c>
      <c r="T38" s="5" t="str">
        <f t="shared" si="20"/>
        <v/>
      </c>
      <c r="U38" s="10" t="str">
        <f t="shared" si="21"/>
        <v/>
      </c>
      <c r="V38" s="5" t="str">
        <f t="shared" si="22"/>
        <v/>
      </c>
      <c r="W38" s="2" t="str">
        <f t="shared" si="11"/>
        <v/>
      </c>
      <c r="X38" s="5" t="str">
        <f t="shared" si="12"/>
        <v/>
      </c>
      <c r="Y38" s="13" t="str">
        <f t="shared" si="13"/>
        <v/>
      </c>
      <c r="Z38" s="5" t="str">
        <f t="shared" si="14"/>
        <v/>
      </c>
    </row>
    <row r="39" spans="10:26" x14ac:dyDescent="0.2">
      <c r="J39" s="2" t="str">
        <f t="shared" si="16"/>
        <v/>
      </c>
      <c r="K39" s="5" t="str">
        <f t="shared" si="17"/>
        <v/>
      </c>
      <c r="L39" s="10" t="str">
        <f t="shared" si="15"/>
        <v/>
      </c>
      <c r="M39" s="5" t="str">
        <f t="shared" si="18"/>
        <v/>
      </c>
      <c r="N39" s="2" t="str">
        <f t="shared" si="7"/>
        <v/>
      </c>
      <c r="O39" s="5" t="str">
        <f t="shared" si="8"/>
        <v/>
      </c>
      <c r="P39" s="13" t="str">
        <f t="shared" si="9"/>
        <v/>
      </c>
      <c r="Q39" s="5" t="str">
        <f t="shared" si="10"/>
        <v/>
      </c>
      <c r="S39" s="2" t="str">
        <f t="shared" si="19"/>
        <v/>
      </c>
      <c r="T39" s="5" t="str">
        <f t="shared" si="20"/>
        <v/>
      </c>
      <c r="U39" s="10" t="str">
        <f t="shared" si="21"/>
        <v/>
      </c>
      <c r="V39" s="5" t="str">
        <f t="shared" si="22"/>
        <v/>
      </c>
      <c r="W39" s="2" t="str">
        <f t="shared" si="11"/>
        <v/>
      </c>
      <c r="X39" s="5" t="str">
        <f t="shared" si="12"/>
        <v/>
      </c>
      <c r="Y39" s="13" t="str">
        <f t="shared" si="13"/>
        <v/>
      </c>
      <c r="Z39" s="5" t="str">
        <f t="shared" si="14"/>
        <v/>
      </c>
    </row>
    <row r="40" spans="10:26" x14ac:dyDescent="0.2">
      <c r="J40" s="2" t="str">
        <f t="shared" si="16"/>
        <v/>
      </c>
      <c r="K40" s="5" t="str">
        <f t="shared" si="17"/>
        <v/>
      </c>
      <c r="L40" s="10" t="str">
        <f t="shared" si="15"/>
        <v/>
      </c>
      <c r="M40" s="5" t="str">
        <f t="shared" si="18"/>
        <v/>
      </c>
      <c r="N40" s="2" t="str">
        <f t="shared" si="7"/>
        <v/>
      </c>
      <c r="O40" s="5" t="str">
        <f t="shared" si="8"/>
        <v/>
      </c>
      <c r="P40" s="13" t="str">
        <f t="shared" si="9"/>
        <v/>
      </c>
      <c r="Q40" s="5" t="str">
        <f t="shared" si="10"/>
        <v/>
      </c>
      <c r="S40" s="2" t="str">
        <f t="shared" si="19"/>
        <v/>
      </c>
      <c r="T40" s="5" t="str">
        <f t="shared" si="20"/>
        <v/>
      </c>
      <c r="U40" s="10" t="str">
        <f t="shared" si="21"/>
        <v/>
      </c>
      <c r="V40" s="5" t="str">
        <f t="shared" si="22"/>
        <v/>
      </c>
      <c r="W40" s="2" t="str">
        <f t="shared" si="11"/>
        <v/>
      </c>
      <c r="X40" s="5" t="str">
        <f t="shared" si="12"/>
        <v/>
      </c>
      <c r="Y40" s="13" t="str">
        <f t="shared" si="13"/>
        <v/>
      </c>
      <c r="Z40" s="5" t="str">
        <f t="shared" si="14"/>
        <v/>
      </c>
    </row>
    <row r="41" spans="10:26" x14ac:dyDescent="0.2">
      <c r="J41" s="2" t="str">
        <f t="shared" si="16"/>
        <v/>
      </c>
      <c r="K41" s="5" t="str">
        <f t="shared" si="17"/>
        <v/>
      </c>
      <c r="L41" s="10" t="str">
        <f t="shared" si="15"/>
        <v/>
      </c>
      <c r="M41" s="5" t="str">
        <f t="shared" si="18"/>
        <v/>
      </c>
      <c r="N41" s="2" t="str">
        <f t="shared" si="7"/>
        <v/>
      </c>
      <c r="O41" s="5" t="str">
        <f t="shared" si="8"/>
        <v/>
      </c>
      <c r="P41" s="13" t="str">
        <f t="shared" si="9"/>
        <v/>
      </c>
      <c r="Q41" s="5" t="str">
        <f t="shared" si="10"/>
        <v/>
      </c>
      <c r="S41" s="2" t="str">
        <f t="shared" si="19"/>
        <v/>
      </c>
      <c r="T41" s="5" t="str">
        <f t="shared" si="20"/>
        <v/>
      </c>
      <c r="U41" s="10" t="str">
        <f t="shared" si="21"/>
        <v/>
      </c>
      <c r="V41" s="5" t="str">
        <f t="shared" si="22"/>
        <v/>
      </c>
      <c r="W41" s="2" t="str">
        <f t="shared" si="11"/>
        <v/>
      </c>
      <c r="X41" s="5" t="str">
        <f t="shared" si="12"/>
        <v/>
      </c>
      <c r="Y41" s="13" t="str">
        <f t="shared" si="13"/>
        <v/>
      </c>
      <c r="Z41" s="5" t="str">
        <f t="shared" si="14"/>
        <v/>
      </c>
    </row>
    <row r="42" spans="10:26" x14ac:dyDescent="0.2">
      <c r="J42" s="2" t="str">
        <f t="shared" si="16"/>
        <v/>
      </c>
      <c r="K42" s="5" t="str">
        <f t="shared" si="17"/>
        <v/>
      </c>
      <c r="L42" s="10" t="str">
        <f t="shared" si="15"/>
        <v/>
      </c>
      <c r="M42" s="5" t="str">
        <f t="shared" si="18"/>
        <v/>
      </c>
      <c r="N42" s="2" t="str">
        <f t="shared" si="7"/>
        <v/>
      </c>
      <c r="O42" s="5" t="str">
        <f t="shared" si="8"/>
        <v/>
      </c>
      <c r="P42" s="13" t="str">
        <f t="shared" si="9"/>
        <v/>
      </c>
      <c r="Q42" s="5" t="str">
        <f t="shared" si="10"/>
        <v/>
      </c>
      <c r="S42" s="2" t="str">
        <f t="shared" si="19"/>
        <v/>
      </c>
      <c r="T42" s="5" t="str">
        <f t="shared" si="20"/>
        <v/>
      </c>
      <c r="U42" s="10" t="str">
        <f t="shared" si="21"/>
        <v/>
      </c>
      <c r="V42" s="5" t="str">
        <f t="shared" si="22"/>
        <v/>
      </c>
      <c r="W42" s="2" t="str">
        <f t="shared" si="11"/>
        <v/>
      </c>
      <c r="X42" s="5" t="str">
        <f t="shared" si="12"/>
        <v/>
      </c>
      <c r="Y42" s="13" t="str">
        <f t="shared" si="13"/>
        <v/>
      </c>
      <c r="Z42" s="5" t="str">
        <f t="shared" si="14"/>
        <v/>
      </c>
    </row>
    <row r="43" spans="10:26" x14ac:dyDescent="0.2">
      <c r="J43" s="2" t="str">
        <f t="shared" si="16"/>
        <v/>
      </c>
      <c r="K43" s="5" t="str">
        <f t="shared" si="17"/>
        <v/>
      </c>
      <c r="L43" s="10" t="str">
        <f t="shared" si="15"/>
        <v/>
      </c>
      <c r="M43" s="5" t="str">
        <f t="shared" si="18"/>
        <v/>
      </c>
      <c r="N43" s="2" t="str">
        <f t="shared" si="7"/>
        <v/>
      </c>
      <c r="O43" s="5" t="str">
        <f t="shared" si="8"/>
        <v/>
      </c>
      <c r="P43" s="13" t="str">
        <f t="shared" si="9"/>
        <v/>
      </c>
      <c r="Q43" s="5" t="str">
        <f t="shared" si="10"/>
        <v/>
      </c>
      <c r="S43" s="2" t="str">
        <f t="shared" si="19"/>
        <v/>
      </c>
      <c r="T43" s="5" t="str">
        <f t="shared" si="20"/>
        <v/>
      </c>
      <c r="U43" s="10" t="str">
        <f t="shared" si="21"/>
        <v/>
      </c>
      <c r="V43" s="5" t="str">
        <f t="shared" si="22"/>
        <v/>
      </c>
      <c r="W43" s="2" t="str">
        <f t="shared" si="11"/>
        <v/>
      </c>
      <c r="X43" s="5" t="str">
        <f t="shared" si="12"/>
        <v/>
      </c>
      <c r="Y43" s="13" t="str">
        <f t="shared" si="13"/>
        <v/>
      </c>
      <c r="Z43" s="5" t="str">
        <f t="shared" si="14"/>
        <v/>
      </c>
    </row>
    <row r="44" spans="10:26" x14ac:dyDescent="0.2">
      <c r="J44" s="2" t="str">
        <f t="shared" si="16"/>
        <v/>
      </c>
      <c r="K44" s="5" t="str">
        <f t="shared" si="17"/>
        <v/>
      </c>
      <c r="L44" s="10" t="str">
        <f t="shared" si="15"/>
        <v/>
      </c>
      <c r="M44" s="5" t="str">
        <f t="shared" si="18"/>
        <v/>
      </c>
      <c r="N44" s="2" t="str">
        <f t="shared" si="7"/>
        <v/>
      </c>
      <c r="O44" s="5" t="str">
        <f t="shared" si="8"/>
        <v/>
      </c>
      <c r="P44" s="13" t="str">
        <f t="shared" si="9"/>
        <v/>
      </c>
      <c r="Q44" s="5" t="str">
        <f t="shared" si="10"/>
        <v/>
      </c>
      <c r="S44" s="2" t="str">
        <f t="shared" si="19"/>
        <v/>
      </c>
      <c r="T44" s="5" t="str">
        <f t="shared" si="20"/>
        <v/>
      </c>
      <c r="U44" s="10" t="str">
        <f t="shared" si="21"/>
        <v/>
      </c>
      <c r="V44" s="5" t="str">
        <f t="shared" si="22"/>
        <v/>
      </c>
      <c r="W44" s="2" t="str">
        <f t="shared" si="11"/>
        <v/>
      </c>
      <c r="X44" s="5" t="str">
        <f t="shared" si="12"/>
        <v/>
      </c>
      <c r="Y44" s="13" t="str">
        <f t="shared" si="13"/>
        <v/>
      </c>
      <c r="Z44" s="5" t="str">
        <f t="shared" si="14"/>
        <v/>
      </c>
    </row>
    <row r="45" spans="10:26" x14ac:dyDescent="0.2">
      <c r="J45" s="2" t="str">
        <f t="shared" si="16"/>
        <v/>
      </c>
      <c r="K45" s="5" t="str">
        <f t="shared" si="17"/>
        <v/>
      </c>
      <c r="L45" s="10" t="str">
        <f t="shared" si="15"/>
        <v/>
      </c>
      <c r="M45" s="5" t="str">
        <f t="shared" si="18"/>
        <v/>
      </c>
      <c r="N45" s="2" t="str">
        <f t="shared" si="7"/>
        <v/>
      </c>
      <c r="O45" s="5" t="str">
        <f t="shared" si="8"/>
        <v/>
      </c>
      <c r="P45" s="13" t="str">
        <f t="shared" si="9"/>
        <v/>
      </c>
      <c r="Q45" s="5" t="str">
        <f t="shared" si="10"/>
        <v/>
      </c>
      <c r="S45" s="2" t="str">
        <f t="shared" si="19"/>
        <v/>
      </c>
      <c r="T45" s="5" t="str">
        <f t="shared" si="20"/>
        <v/>
      </c>
      <c r="U45" s="10" t="str">
        <f t="shared" si="21"/>
        <v/>
      </c>
      <c r="V45" s="5" t="str">
        <f t="shared" si="22"/>
        <v/>
      </c>
      <c r="W45" s="2" t="str">
        <f t="shared" si="11"/>
        <v/>
      </c>
      <c r="X45" s="5" t="str">
        <f t="shared" si="12"/>
        <v/>
      </c>
      <c r="Y45" s="13" t="str">
        <f t="shared" si="13"/>
        <v/>
      </c>
      <c r="Z45" s="5" t="str">
        <f t="shared" si="14"/>
        <v/>
      </c>
    </row>
    <row r="46" spans="10:26" x14ac:dyDescent="0.2">
      <c r="J46" s="2" t="str">
        <f t="shared" si="16"/>
        <v/>
      </c>
      <c r="K46" s="5" t="str">
        <f t="shared" si="17"/>
        <v/>
      </c>
      <c r="L46" s="10" t="str">
        <f t="shared" si="15"/>
        <v/>
      </c>
      <c r="M46" s="5" t="str">
        <f t="shared" si="18"/>
        <v/>
      </c>
      <c r="N46" s="2" t="str">
        <f t="shared" si="7"/>
        <v/>
      </c>
      <c r="O46" s="5" t="str">
        <f t="shared" si="8"/>
        <v/>
      </c>
      <c r="P46" s="13" t="str">
        <f t="shared" si="9"/>
        <v/>
      </c>
      <c r="Q46" s="5" t="str">
        <f t="shared" si="10"/>
        <v/>
      </c>
      <c r="S46" s="2" t="str">
        <f t="shared" si="19"/>
        <v/>
      </c>
      <c r="T46" s="5" t="str">
        <f t="shared" si="20"/>
        <v/>
      </c>
      <c r="U46" s="10" t="str">
        <f t="shared" si="21"/>
        <v/>
      </c>
      <c r="V46" s="5" t="str">
        <f t="shared" si="22"/>
        <v/>
      </c>
      <c r="W46" s="2" t="str">
        <f t="shared" si="11"/>
        <v/>
      </c>
      <c r="X46" s="5" t="str">
        <f t="shared" si="12"/>
        <v/>
      </c>
      <c r="Y46" s="13" t="str">
        <f t="shared" si="13"/>
        <v/>
      </c>
      <c r="Z46" s="5" t="str">
        <f t="shared" si="14"/>
        <v/>
      </c>
    </row>
    <row r="47" spans="10:26" x14ac:dyDescent="0.2">
      <c r="J47" s="2" t="str">
        <f t="shared" si="16"/>
        <v/>
      </c>
      <c r="K47" s="5" t="str">
        <f t="shared" si="17"/>
        <v/>
      </c>
      <c r="L47" s="10" t="str">
        <f t="shared" si="15"/>
        <v/>
      </c>
      <c r="M47" s="5" t="str">
        <f t="shared" si="18"/>
        <v/>
      </c>
      <c r="N47" s="2" t="str">
        <f t="shared" si="7"/>
        <v/>
      </c>
      <c r="O47" s="5" t="str">
        <f t="shared" si="8"/>
        <v/>
      </c>
      <c r="P47" s="13" t="str">
        <f t="shared" si="9"/>
        <v/>
      </c>
      <c r="Q47" s="5" t="str">
        <f t="shared" si="10"/>
        <v/>
      </c>
      <c r="S47" s="2" t="str">
        <f t="shared" si="19"/>
        <v/>
      </c>
      <c r="T47" s="5" t="str">
        <f t="shared" si="20"/>
        <v/>
      </c>
      <c r="U47" s="10" t="str">
        <f t="shared" si="21"/>
        <v/>
      </c>
      <c r="V47" s="5" t="str">
        <f t="shared" si="22"/>
        <v/>
      </c>
      <c r="W47" s="2" t="str">
        <f t="shared" si="11"/>
        <v/>
      </c>
      <c r="X47" s="5" t="str">
        <f t="shared" si="12"/>
        <v/>
      </c>
      <c r="Y47" s="13" t="str">
        <f t="shared" si="13"/>
        <v/>
      </c>
      <c r="Z47" s="5" t="str">
        <f t="shared" si="14"/>
        <v/>
      </c>
    </row>
    <row r="48" spans="10:26" x14ac:dyDescent="0.2">
      <c r="J48" s="2" t="str">
        <f t="shared" si="16"/>
        <v/>
      </c>
      <c r="K48" s="5" t="str">
        <f t="shared" si="17"/>
        <v/>
      </c>
      <c r="L48" s="10" t="str">
        <f t="shared" si="15"/>
        <v/>
      </c>
      <c r="M48" s="5" t="str">
        <f t="shared" si="18"/>
        <v/>
      </c>
      <c r="N48" s="2" t="str">
        <f t="shared" si="7"/>
        <v/>
      </c>
      <c r="O48" s="5" t="str">
        <f t="shared" si="8"/>
        <v/>
      </c>
      <c r="P48" s="13" t="str">
        <f t="shared" si="9"/>
        <v/>
      </c>
      <c r="Q48" s="5" t="str">
        <f t="shared" si="10"/>
        <v/>
      </c>
      <c r="S48" s="2" t="str">
        <f t="shared" si="19"/>
        <v/>
      </c>
      <c r="T48" s="5" t="str">
        <f t="shared" si="20"/>
        <v/>
      </c>
      <c r="U48" s="10" t="str">
        <f t="shared" si="21"/>
        <v/>
      </c>
      <c r="V48" s="5" t="str">
        <f t="shared" si="22"/>
        <v/>
      </c>
      <c r="W48" s="2" t="str">
        <f t="shared" si="11"/>
        <v/>
      </c>
      <c r="X48" s="5" t="str">
        <f t="shared" si="12"/>
        <v/>
      </c>
      <c r="Y48" s="13" t="str">
        <f t="shared" si="13"/>
        <v/>
      </c>
      <c r="Z48" s="5" t="str">
        <f t="shared" si="14"/>
        <v/>
      </c>
    </row>
    <row r="49" spans="10:26" x14ac:dyDescent="0.2">
      <c r="J49" s="2" t="str">
        <f t="shared" si="16"/>
        <v/>
      </c>
      <c r="K49" s="5" t="str">
        <f t="shared" si="17"/>
        <v/>
      </c>
      <c r="L49" s="10" t="str">
        <f t="shared" si="15"/>
        <v/>
      </c>
      <c r="M49" s="5" t="str">
        <f t="shared" si="18"/>
        <v/>
      </c>
      <c r="N49" s="2" t="str">
        <f t="shared" si="7"/>
        <v/>
      </c>
      <c r="O49" s="5" t="str">
        <f t="shared" si="8"/>
        <v/>
      </c>
      <c r="P49" s="13" t="str">
        <f t="shared" si="9"/>
        <v/>
      </c>
      <c r="Q49" s="5" t="str">
        <f t="shared" si="10"/>
        <v/>
      </c>
      <c r="S49" s="2" t="str">
        <f t="shared" si="19"/>
        <v/>
      </c>
      <c r="T49" s="5" t="str">
        <f t="shared" si="20"/>
        <v/>
      </c>
      <c r="U49" s="10" t="str">
        <f t="shared" si="21"/>
        <v/>
      </c>
      <c r="V49" s="5" t="str">
        <f t="shared" si="22"/>
        <v/>
      </c>
      <c r="W49" s="2" t="str">
        <f t="shared" si="11"/>
        <v/>
      </c>
      <c r="X49" s="5" t="str">
        <f t="shared" si="12"/>
        <v/>
      </c>
      <c r="Y49" s="13" t="str">
        <f t="shared" si="13"/>
        <v/>
      </c>
      <c r="Z49" s="5" t="str">
        <f t="shared" si="14"/>
        <v/>
      </c>
    </row>
    <row r="50" spans="10:26" x14ac:dyDescent="0.2">
      <c r="J50" s="2" t="str">
        <f t="shared" si="16"/>
        <v/>
      </c>
      <c r="K50" s="5" t="str">
        <f t="shared" si="17"/>
        <v/>
      </c>
      <c r="L50" s="10" t="str">
        <f t="shared" si="15"/>
        <v/>
      </c>
      <c r="M50" s="5" t="str">
        <f t="shared" si="18"/>
        <v/>
      </c>
      <c r="N50" s="2" t="str">
        <f t="shared" si="7"/>
        <v/>
      </c>
      <c r="O50" s="5" t="str">
        <f t="shared" si="8"/>
        <v/>
      </c>
      <c r="P50" s="13" t="str">
        <f t="shared" si="9"/>
        <v/>
      </c>
      <c r="Q50" s="5" t="str">
        <f t="shared" si="10"/>
        <v/>
      </c>
      <c r="S50" s="2" t="str">
        <f t="shared" si="19"/>
        <v/>
      </c>
      <c r="T50" s="5" t="str">
        <f t="shared" si="20"/>
        <v/>
      </c>
      <c r="U50" s="10" t="str">
        <f t="shared" si="21"/>
        <v/>
      </c>
      <c r="V50" s="5" t="str">
        <f t="shared" si="22"/>
        <v/>
      </c>
      <c r="W50" s="2" t="str">
        <f t="shared" si="11"/>
        <v/>
      </c>
      <c r="X50" s="5" t="str">
        <f t="shared" si="12"/>
        <v/>
      </c>
      <c r="Y50" s="13" t="str">
        <f t="shared" si="13"/>
        <v/>
      </c>
      <c r="Z50" s="5" t="str">
        <f t="shared" si="14"/>
        <v/>
      </c>
    </row>
    <row r="51" spans="10:26" x14ac:dyDescent="0.2">
      <c r="J51" s="2" t="str">
        <f t="shared" si="16"/>
        <v/>
      </c>
      <c r="K51" s="5" t="str">
        <f t="shared" si="17"/>
        <v/>
      </c>
      <c r="L51" s="10" t="str">
        <f t="shared" si="15"/>
        <v/>
      </c>
      <c r="M51" s="5" t="str">
        <f t="shared" si="18"/>
        <v/>
      </c>
      <c r="N51" s="2" t="str">
        <f t="shared" si="7"/>
        <v/>
      </c>
      <c r="O51" s="5" t="str">
        <f t="shared" si="8"/>
        <v/>
      </c>
      <c r="P51" s="13" t="str">
        <f t="shared" si="9"/>
        <v/>
      </c>
      <c r="Q51" s="5" t="str">
        <f t="shared" si="10"/>
        <v/>
      </c>
      <c r="S51" s="2" t="str">
        <f t="shared" si="19"/>
        <v/>
      </c>
      <c r="T51" s="5" t="str">
        <f t="shared" si="20"/>
        <v/>
      </c>
      <c r="U51" s="10" t="str">
        <f t="shared" si="21"/>
        <v/>
      </c>
      <c r="V51" s="5" t="str">
        <f t="shared" si="22"/>
        <v/>
      </c>
      <c r="W51" s="2" t="str">
        <f t="shared" si="11"/>
        <v/>
      </c>
      <c r="X51" s="5" t="str">
        <f t="shared" si="12"/>
        <v/>
      </c>
      <c r="Y51" s="13" t="str">
        <f t="shared" si="13"/>
        <v/>
      </c>
      <c r="Z51" s="5" t="str">
        <f t="shared" si="14"/>
        <v/>
      </c>
    </row>
    <row r="52" spans="10:26" x14ac:dyDescent="0.2">
      <c r="J52" s="2" t="str">
        <f t="shared" si="16"/>
        <v/>
      </c>
      <c r="K52" s="5" t="str">
        <f t="shared" si="17"/>
        <v/>
      </c>
      <c r="L52" s="10" t="str">
        <f t="shared" si="15"/>
        <v/>
      </c>
      <c r="M52" s="5" t="str">
        <f t="shared" si="18"/>
        <v/>
      </c>
      <c r="N52" s="2" t="str">
        <f t="shared" si="7"/>
        <v/>
      </c>
      <c r="O52" s="5" t="str">
        <f t="shared" si="8"/>
        <v/>
      </c>
      <c r="P52" s="13" t="str">
        <f t="shared" si="9"/>
        <v/>
      </c>
      <c r="Q52" s="5" t="str">
        <f t="shared" si="10"/>
        <v/>
      </c>
      <c r="S52" s="2" t="str">
        <f t="shared" si="19"/>
        <v/>
      </c>
      <c r="T52" s="5" t="str">
        <f t="shared" si="20"/>
        <v/>
      </c>
      <c r="U52" s="10" t="str">
        <f t="shared" si="21"/>
        <v/>
      </c>
      <c r="V52" s="5" t="str">
        <f t="shared" si="22"/>
        <v/>
      </c>
      <c r="W52" s="2" t="str">
        <f t="shared" si="11"/>
        <v/>
      </c>
      <c r="X52" s="5" t="str">
        <f t="shared" si="12"/>
        <v/>
      </c>
      <c r="Y52" s="13" t="str">
        <f t="shared" si="13"/>
        <v/>
      </c>
      <c r="Z52" s="5" t="str">
        <f t="shared" si="14"/>
        <v/>
      </c>
    </row>
    <row r="53" spans="10:26" x14ac:dyDescent="0.2">
      <c r="J53" s="2" t="str">
        <f t="shared" si="16"/>
        <v/>
      </c>
      <c r="K53" s="5" t="str">
        <f t="shared" si="17"/>
        <v/>
      </c>
      <c r="L53" s="10" t="str">
        <f t="shared" si="15"/>
        <v/>
      </c>
      <c r="M53" s="5" t="str">
        <f t="shared" si="18"/>
        <v/>
      </c>
      <c r="N53" s="2" t="str">
        <f t="shared" si="7"/>
        <v/>
      </c>
      <c r="O53" s="5" t="str">
        <f t="shared" si="8"/>
        <v/>
      </c>
      <c r="P53" s="13" t="str">
        <f t="shared" si="9"/>
        <v/>
      </c>
      <c r="Q53" s="5" t="str">
        <f t="shared" si="10"/>
        <v/>
      </c>
      <c r="S53" s="2" t="str">
        <f t="shared" si="19"/>
        <v/>
      </c>
      <c r="T53" s="5" t="str">
        <f t="shared" si="20"/>
        <v/>
      </c>
      <c r="U53" s="10" t="str">
        <f t="shared" si="21"/>
        <v/>
      </c>
      <c r="V53" s="5" t="str">
        <f t="shared" si="22"/>
        <v/>
      </c>
      <c r="W53" s="2" t="str">
        <f t="shared" si="11"/>
        <v/>
      </c>
      <c r="X53" s="5" t="str">
        <f t="shared" si="12"/>
        <v/>
      </c>
      <c r="Y53" s="13" t="str">
        <f t="shared" si="13"/>
        <v/>
      </c>
      <c r="Z53" s="5" t="str">
        <f t="shared" si="14"/>
        <v/>
      </c>
    </row>
    <row r="54" spans="10:26" x14ac:dyDescent="0.2">
      <c r="J54" s="2" t="str">
        <f t="shared" si="16"/>
        <v/>
      </c>
      <c r="K54" s="5" t="str">
        <f t="shared" si="17"/>
        <v/>
      </c>
      <c r="L54" s="10" t="str">
        <f t="shared" si="15"/>
        <v/>
      </c>
      <c r="M54" s="5" t="str">
        <f t="shared" si="18"/>
        <v/>
      </c>
      <c r="N54" s="2" t="str">
        <f t="shared" si="7"/>
        <v/>
      </c>
      <c r="O54" s="5" t="str">
        <f t="shared" si="8"/>
        <v/>
      </c>
      <c r="P54" s="13" t="str">
        <f t="shared" si="9"/>
        <v/>
      </c>
      <c r="Q54" s="5" t="str">
        <f t="shared" si="10"/>
        <v/>
      </c>
      <c r="S54" s="2" t="str">
        <f t="shared" si="19"/>
        <v/>
      </c>
      <c r="T54" s="5" t="str">
        <f t="shared" si="20"/>
        <v/>
      </c>
      <c r="U54" s="10" t="str">
        <f t="shared" si="21"/>
        <v/>
      </c>
      <c r="V54" s="5" t="str">
        <f t="shared" si="22"/>
        <v/>
      </c>
      <c r="W54" s="2" t="str">
        <f t="shared" si="11"/>
        <v/>
      </c>
      <c r="X54" s="5" t="str">
        <f t="shared" si="12"/>
        <v/>
      </c>
      <c r="Y54" s="13" t="str">
        <f t="shared" si="13"/>
        <v/>
      </c>
      <c r="Z54" s="5" t="str">
        <f t="shared" si="14"/>
        <v/>
      </c>
    </row>
    <row r="55" spans="10:26" x14ac:dyDescent="0.2">
      <c r="J55" s="2" t="str">
        <f t="shared" si="16"/>
        <v/>
      </c>
      <c r="K55" s="5" t="str">
        <f t="shared" si="17"/>
        <v/>
      </c>
      <c r="L55" s="10" t="str">
        <f t="shared" si="15"/>
        <v/>
      </c>
      <c r="M55" s="5" t="str">
        <f t="shared" si="18"/>
        <v/>
      </c>
      <c r="N55" s="2" t="str">
        <f t="shared" si="7"/>
        <v/>
      </c>
      <c r="O55" s="5" t="str">
        <f t="shared" si="8"/>
        <v/>
      </c>
      <c r="P55" s="13" t="str">
        <f t="shared" si="9"/>
        <v/>
      </c>
      <c r="Q55" s="5" t="str">
        <f t="shared" si="10"/>
        <v/>
      </c>
      <c r="S55" s="2" t="str">
        <f t="shared" si="19"/>
        <v/>
      </c>
      <c r="T55" s="5" t="str">
        <f t="shared" si="20"/>
        <v/>
      </c>
      <c r="U55" s="10" t="str">
        <f t="shared" si="21"/>
        <v/>
      </c>
      <c r="V55" s="5" t="str">
        <f t="shared" si="22"/>
        <v/>
      </c>
      <c r="W55" s="2" t="str">
        <f t="shared" si="11"/>
        <v/>
      </c>
      <c r="X55" s="5" t="str">
        <f t="shared" si="12"/>
        <v/>
      </c>
      <c r="Y55" s="13" t="str">
        <f t="shared" si="13"/>
        <v/>
      </c>
      <c r="Z55" s="5" t="str">
        <f t="shared" si="14"/>
        <v/>
      </c>
    </row>
    <row r="56" spans="10:26" x14ac:dyDescent="0.2">
      <c r="J56" s="2" t="str">
        <f t="shared" si="16"/>
        <v/>
      </c>
      <c r="K56" s="5" t="str">
        <f t="shared" si="17"/>
        <v/>
      </c>
      <c r="L56" s="10" t="str">
        <f t="shared" si="15"/>
        <v/>
      </c>
      <c r="M56" s="5" t="str">
        <f t="shared" si="18"/>
        <v/>
      </c>
      <c r="N56" s="2" t="str">
        <f t="shared" si="7"/>
        <v/>
      </c>
      <c r="O56" s="5" t="str">
        <f t="shared" si="8"/>
        <v/>
      </c>
      <c r="P56" s="13" t="str">
        <f t="shared" si="9"/>
        <v/>
      </c>
      <c r="Q56" s="5" t="str">
        <f t="shared" si="10"/>
        <v/>
      </c>
      <c r="S56" s="2" t="str">
        <f t="shared" si="19"/>
        <v/>
      </c>
      <c r="T56" s="5" t="str">
        <f t="shared" si="20"/>
        <v/>
      </c>
      <c r="U56" s="10" t="str">
        <f t="shared" si="21"/>
        <v/>
      </c>
      <c r="V56" s="5" t="str">
        <f t="shared" si="22"/>
        <v/>
      </c>
      <c r="W56" s="2" t="str">
        <f t="shared" si="11"/>
        <v/>
      </c>
      <c r="X56" s="5" t="str">
        <f t="shared" si="12"/>
        <v/>
      </c>
      <c r="Y56" s="13" t="str">
        <f t="shared" si="13"/>
        <v/>
      </c>
      <c r="Z56" s="5" t="str">
        <f t="shared" si="14"/>
        <v/>
      </c>
    </row>
    <row r="57" spans="10:26" x14ac:dyDescent="0.2">
      <c r="J57" s="2" t="str">
        <f t="shared" si="16"/>
        <v/>
      </c>
      <c r="K57" s="5" t="str">
        <f t="shared" si="17"/>
        <v/>
      </c>
      <c r="L57" s="10" t="str">
        <f t="shared" si="15"/>
        <v/>
      </c>
      <c r="M57" s="5" t="str">
        <f t="shared" si="18"/>
        <v/>
      </c>
      <c r="N57" s="2" t="str">
        <f t="shared" si="7"/>
        <v/>
      </c>
      <c r="O57" s="5" t="str">
        <f t="shared" si="8"/>
        <v/>
      </c>
      <c r="P57" s="13" t="str">
        <f t="shared" si="9"/>
        <v/>
      </c>
      <c r="Q57" s="5" t="str">
        <f t="shared" si="10"/>
        <v/>
      </c>
      <c r="S57" s="2" t="str">
        <f t="shared" si="19"/>
        <v/>
      </c>
      <c r="T57" s="5" t="str">
        <f t="shared" si="20"/>
        <v/>
      </c>
      <c r="U57" s="10" t="str">
        <f t="shared" si="21"/>
        <v/>
      </c>
      <c r="V57" s="5" t="str">
        <f t="shared" si="22"/>
        <v/>
      </c>
      <c r="W57" s="2" t="str">
        <f t="shared" si="11"/>
        <v/>
      </c>
      <c r="X57" s="5" t="str">
        <f t="shared" si="12"/>
        <v/>
      </c>
      <c r="Y57" s="13" t="str">
        <f t="shared" si="13"/>
        <v/>
      </c>
      <c r="Z57" s="5" t="str">
        <f t="shared" si="14"/>
        <v/>
      </c>
    </row>
    <row r="58" spans="10:26" x14ac:dyDescent="0.2">
      <c r="J58" s="2" t="str">
        <f t="shared" si="16"/>
        <v/>
      </c>
      <c r="K58" s="5" t="str">
        <f t="shared" si="17"/>
        <v/>
      </c>
      <c r="L58" s="10" t="str">
        <f t="shared" si="15"/>
        <v/>
      </c>
      <c r="M58" s="5" t="str">
        <f t="shared" si="18"/>
        <v/>
      </c>
      <c r="N58" s="2" t="str">
        <f t="shared" si="7"/>
        <v/>
      </c>
      <c r="O58" s="5" t="str">
        <f t="shared" si="8"/>
        <v/>
      </c>
      <c r="P58" s="13" t="str">
        <f t="shared" si="9"/>
        <v/>
      </c>
      <c r="Q58" s="5" t="str">
        <f t="shared" si="10"/>
        <v/>
      </c>
      <c r="S58" s="2" t="str">
        <f t="shared" si="19"/>
        <v/>
      </c>
      <c r="T58" s="5" t="str">
        <f t="shared" si="20"/>
        <v/>
      </c>
      <c r="U58" s="10" t="str">
        <f t="shared" si="21"/>
        <v/>
      </c>
      <c r="V58" s="5" t="str">
        <f t="shared" si="22"/>
        <v/>
      </c>
      <c r="W58" s="2" t="str">
        <f t="shared" si="11"/>
        <v/>
      </c>
      <c r="X58" s="5" t="str">
        <f t="shared" si="12"/>
        <v/>
      </c>
      <c r="Y58" s="13" t="str">
        <f t="shared" si="13"/>
        <v/>
      </c>
      <c r="Z58" s="5" t="str">
        <f t="shared" si="14"/>
        <v/>
      </c>
    </row>
    <row r="59" spans="10:26" x14ac:dyDescent="0.2">
      <c r="J59" s="2" t="str">
        <f t="shared" si="16"/>
        <v/>
      </c>
      <c r="K59" s="5" t="str">
        <f t="shared" si="17"/>
        <v/>
      </c>
      <c r="L59" s="10" t="str">
        <f t="shared" si="15"/>
        <v/>
      </c>
      <c r="M59" s="5" t="str">
        <f t="shared" si="18"/>
        <v/>
      </c>
      <c r="N59" s="2" t="str">
        <f t="shared" si="7"/>
        <v/>
      </c>
      <c r="O59" s="5" t="str">
        <f t="shared" si="8"/>
        <v/>
      </c>
      <c r="P59" s="13" t="str">
        <f t="shared" si="9"/>
        <v/>
      </c>
      <c r="Q59" s="5" t="str">
        <f t="shared" si="10"/>
        <v/>
      </c>
      <c r="S59" s="2" t="str">
        <f t="shared" si="19"/>
        <v/>
      </c>
      <c r="T59" s="5" t="str">
        <f t="shared" si="20"/>
        <v/>
      </c>
      <c r="U59" s="10" t="str">
        <f t="shared" si="21"/>
        <v/>
      </c>
      <c r="V59" s="5" t="str">
        <f t="shared" si="22"/>
        <v/>
      </c>
      <c r="W59" s="2" t="str">
        <f t="shared" si="11"/>
        <v/>
      </c>
      <c r="X59" s="5" t="str">
        <f t="shared" si="12"/>
        <v/>
      </c>
      <c r="Y59" s="13" t="str">
        <f t="shared" si="13"/>
        <v/>
      </c>
      <c r="Z59" s="5" t="str">
        <f t="shared" si="14"/>
        <v/>
      </c>
    </row>
    <row r="60" spans="10:26" x14ac:dyDescent="0.2">
      <c r="J60" s="2" t="str">
        <f t="shared" si="16"/>
        <v/>
      </c>
      <c r="K60" s="5" t="str">
        <f t="shared" si="17"/>
        <v/>
      </c>
      <c r="L60" s="10" t="str">
        <f t="shared" si="15"/>
        <v/>
      </c>
      <c r="M60" s="5" t="str">
        <f t="shared" si="18"/>
        <v/>
      </c>
      <c r="N60" s="2" t="str">
        <f t="shared" si="7"/>
        <v/>
      </c>
      <c r="O60" s="5" t="str">
        <f t="shared" si="8"/>
        <v/>
      </c>
      <c r="P60" s="13" t="str">
        <f t="shared" si="9"/>
        <v/>
      </c>
      <c r="Q60" s="5" t="str">
        <f t="shared" si="10"/>
        <v/>
      </c>
      <c r="S60" s="2" t="str">
        <f t="shared" si="19"/>
        <v/>
      </c>
      <c r="T60" s="5" t="str">
        <f t="shared" si="20"/>
        <v/>
      </c>
      <c r="U60" s="10" t="str">
        <f t="shared" si="21"/>
        <v/>
      </c>
      <c r="V60" s="5" t="str">
        <f t="shared" si="22"/>
        <v/>
      </c>
      <c r="W60" s="2" t="str">
        <f t="shared" si="11"/>
        <v/>
      </c>
      <c r="X60" s="5" t="str">
        <f t="shared" si="12"/>
        <v/>
      </c>
      <c r="Y60" s="13" t="str">
        <f t="shared" si="13"/>
        <v/>
      </c>
      <c r="Z60" s="5" t="str">
        <f t="shared" si="14"/>
        <v/>
      </c>
    </row>
    <row r="61" spans="10:26" x14ac:dyDescent="0.2">
      <c r="J61" s="2" t="str">
        <f t="shared" si="16"/>
        <v/>
      </c>
      <c r="K61" s="5" t="str">
        <f t="shared" si="17"/>
        <v/>
      </c>
      <c r="L61" s="10" t="str">
        <f t="shared" si="15"/>
        <v/>
      </c>
      <c r="M61" s="5" t="str">
        <f t="shared" si="18"/>
        <v/>
      </c>
      <c r="N61" s="2" t="str">
        <f t="shared" si="7"/>
        <v/>
      </c>
      <c r="O61" s="5" t="str">
        <f t="shared" si="8"/>
        <v/>
      </c>
      <c r="P61" s="13" t="str">
        <f t="shared" si="9"/>
        <v/>
      </c>
      <c r="Q61" s="5" t="str">
        <f t="shared" si="10"/>
        <v/>
      </c>
      <c r="S61" s="2" t="str">
        <f t="shared" si="19"/>
        <v/>
      </c>
      <c r="T61" s="5" t="str">
        <f t="shared" si="20"/>
        <v/>
      </c>
      <c r="U61" s="10" t="str">
        <f t="shared" si="21"/>
        <v/>
      </c>
      <c r="V61" s="5" t="str">
        <f t="shared" si="22"/>
        <v/>
      </c>
      <c r="W61" s="2" t="str">
        <f t="shared" si="11"/>
        <v/>
      </c>
      <c r="X61" s="5" t="str">
        <f t="shared" si="12"/>
        <v/>
      </c>
      <c r="Y61" s="13" t="str">
        <f t="shared" si="13"/>
        <v/>
      </c>
      <c r="Z61" s="5" t="str">
        <f t="shared" si="14"/>
        <v/>
      </c>
    </row>
    <row r="62" spans="10:26" x14ac:dyDescent="0.2">
      <c r="J62" s="2" t="str">
        <f t="shared" si="16"/>
        <v/>
      </c>
      <c r="K62" s="5" t="str">
        <f t="shared" si="17"/>
        <v/>
      </c>
      <c r="L62" s="10" t="str">
        <f t="shared" si="15"/>
        <v/>
      </c>
      <c r="M62" s="5" t="str">
        <f t="shared" si="18"/>
        <v/>
      </c>
      <c r="N62" s="2" t="str">
        <f t="shared" si="7"/>
        <v/>
      </c>
      <c r="O62" s="5" t="str">
        <f t="shared" si="8"/>
        <v/>
      </c>
      <c r="P62" s="13" t="str">
        <f t="shared" si="9"/>
        <v/>
      </c>
      <c r="Q62" s="5" t="str">
        <f t="shared" si="10"/>
        <v/>
      </c>
      <c r="S62" s="2" t="str">
        <f t="shared" si="19"/>
        <v/>
      </c>
      <c r="T62" s="5" t="str">
        <f t="shared" si="20"/>
        <v/>
      </c>
      <c r="U62" s="10" t="str">
        <f t="shared" si="21"/>
        <v/>
      </c>
      <c r="V62" s="5" t="str">
        <f t="shared" si="22"/>
        <v/>
      </c>
      <c r="W62" s="2" t="str">
        <f t="shared" si="11"/>
        <v/>
      </c>
      <c r="X62" s="5" t="str">
        <f t="shared" si="12"/>
        <v/>
      </c>
      <c r="Y62" s="13" t="str">
        <f t="shared" si="13"/>
        <v/>
      </c>
      <c r="Z62" s="5" t="str">
        <f t="shared" si="14"/>
        <v/>
      </c>
    </row>
    <row r="63" spans="10:26" x14ac:dyDescent="0.2">
      <c r="J63" s="2" t="str">
        <f t="shared" si="16"/>
        <v/>
      </c>
      <c r="K63" s="5" t="str">
        <f t="shared" si="17"/>
        <v/>
      </c>
      <c r="L63" s="10" t="str">
        <f t="shared" si="15"/>
        <v/>
      </c>
      <c r="M63" s="5" t="str">
        <f t="shared" si="18"/>
        <v/>
      </c>
      <c r="N63" s="2" t="str">
        <f t="shared" si="7"/>
        <v/>
      </c>
      <c r="O63" s="5" t="str">
        <f t="shared" si="8"/>
        <v/>
      </c>
      <c r="P63" s="13" t="str">
        <f t="shared" si="9"/>
        <v/>
      </c>
      <c r="Q63" s="5" t="str">
        <f t="shared" si="10"/>
        <v/>
      </c>
      <c r="S63" s="2" t="str">
        <f t="shared" si="19"/>
        <v/>
      </c>
      <c r="T63" s="5" t="str">
        <f t="shared" si="20"/>
        <v/>
      </c>
      <c r="U63" s="10" t="str">
        <f t="shared" si="21"/>
        <v/>
      </c>
      <c r="V63" s="5" t="str">
        <f t="shared" si="22"/>
        <v/>
      </c>
      <c r="W63" s="2" t="str">
        <f t="shared" si="11"/>
        <v/>
      </c>
      <c r="X63" s="5" t="str">
        <f t="shared" si="12"/>
        <v/>
      </c>
      <c r="Y63" s="13" t="str">
        <f t="shared" si="13"/>
        <v/>
      </c>
      <c r="Z63" s="5" t="str">
        <f t="shared" si="14"/>
        <v/>
      </c>
    </row>
    <row r="64" spans="10:26" x14ac:dyDescent="0.2">
      <c r="J64" s="2" t="str">
        <f t="shared" si="16"/>
        <v/>
      </c>
      <c r="K64" s="5" t="str">
        <f t="shared" si="17"/>
        <v/>
      </c>
      <c r="L64" s="10" t="str">
        <f t="shared" si="15"/>
        <v/>
      </c>
      <c r="M64" s="5" t="str">
        <f t="shared" si="18"/>
        <v/>
      </c>
      <c r="N64" s="2" t="str">
        <f t="shared" si="7"/>
        <v/>
      </c>
      <c r="O64" s="5" t="str">
        <f t="shared" si="8"/>
        <v/>
      </c>
      <c r="P64" s="13" t="str">
        <f t="shared" si="9"/>
        <v/>
      </c>
      <c r="Q64" s="5" t="str">
        <f t="shared" si="10"/>
        <v/>
      </c>
      <c r="S64" s="2" t="str">
        <f t="shared" si="19"/>
        <v/>
      </c>
      <c r="T64" s="5" t="str">
        <f t="shared" si="20"/>
        <v/>
      </c>
      <c r="U64" s="10" t="str">
        <f t="shared" si="21"/>
        <v/>
      </c>
      <c r="V64" s="5" t="str">
        <f t="shared" si="22"/>
        <v/>
      </c>
      <c r="W64" s="2" t="str">
        <f t="shared" si="11"/>
        <v/>
      </c>
      <c r="X64" s="5" t="str">
        <f t="shared" si="12"/>
        <v/>
      </c>
      <c r="Y64" s="13" t="str">
        <f t="shared" si="13"/>
        <v/>
      </c>
      <c r="Z64" s="5" t="str">
        <f t="shared" si="14"/>
        <v/>
      </c>
    </row>
    <row r="65" spans="10:26" x14ac:dyDescent="0.2">
      <c r="J65" s="2" t="str">
        <f t="shared" si="16"/>
        <v/>
      </c>
      <c r="K65" s="5" t="str">
        <f t="shared" si="17"/>
        <v/>
      </c>
      <c r="L65" s="10" t="str">
        <f t="shared" si="15"/>
        <v/>
      </c>
      <c r="M65" s="5" t="str">
        <f t="shared" si="18"/>
        <v/>
      </c>
      <c r="N65" s="2" t="str">
        <f t="shared" si="7"/>
        <v/>
      </c>
      <c r="O65" s="5" t="str">
        <f t="shared" si="8"/>
        <v/>
      </c>
      <c r="P65" s="13" t="str">
        <f t="shared" si="9"/>
        <v/>
      </c>
      <c r="Q65" s="5" t="str">
        <f t="shared" si="10"/>
        <v/>
      </c>
      <c r="S65" s="2" t="str">
        <f t="shared" si="19"/>
        <v/>
      </c>
      <c r="T65" s="5" t="str">
        <f t="shared" si="20"/>
        <v/>
      </c>
      <c r="U65" s="10" t="str">
        <f t="shared" si="21"/>
        <v/>
      </c>
      <c r="V65" s="5" t="str">
        <f t="shared" si="22"/>
        <v/>
      </c>
      <c r="W65" s="2" t="str">
        <f t="shared" si="11"/>
        <v/>
      </c>
      <c r="X65" s="5" t="str">
        <f t="shared" si="12"/>
        <v/>
      </c>
      <c r="Y65" s="13" t="str">
        <f t="shared" si="13"/>
        <v/>
      </c>
      <c r="Z65" s="5" t="str">
        <f t="shared" si="14"/>
        <v/>
      </c>
    </row>
    <row r="66" spans="10:26" x14ac:dyDescent="0.2">
      <c r="J66" s="2" t="str">
        <f t="shared" si="16"/>
        <v/>
      </c>
      <c r="K66" s="5" t="str">
        <f t="shared" si="17"/>
        <v/>
      </c>
      <c r="L66" s="10" t="str">
        <f t="shared" si="15"/>
        <v/>
      </c>
      <c r="M66" s="5" t="str">
        <f t="shared" si="18"/>
        <v/>
      </c>
      <c r="N66" s="2" t="str">
        <f t="shared" si="7"/>
        <v/>
      </c>
      <c r="O66" s="5" t="str">
        <f t="shared" si="8"/>
        <v/>
      </c>
      <c r="P66" s="13" t="str">
        <f t="shared" si="9"/>
        <v/>
      </c>
      <c r="Q66" s="5" t="str">
        <f t="shared" si="10"/>
        <v/>
      </c>
      <c r="S66" s="2" t="str">
        <f t="shared" si="19"/>
        <v/>
      </c>
      <c r="T66" s="5" t="str">
        <f t="shared" si="20"/>
        <v/>
      </c>
      <c r="U66" s="10" t="str">
        <f t="shared" si="21"/>
        <v/>
      </c>
      <c r="V66" s="5" t="str">
        <f t="shared" si="22"/>
        <v/>
      </c>
      <c r="W66" s="2" t="str">
        <f t="shared" si="11"/>
        <v/>
      </c>
      <c r="X66" s="5" t="str">
        <f t="shared" si="12"/>
        <v/>
      </c>
      <c r="Y66" s="13" t="str">
        <f t="shared" si="13"/>
        <v/>
      </c>
      <c r="Z66" s="5" t="str">
        <f t="shared" si="14"/>
        <v/>
      </c>
    </row>
    <row r="67" spans="10:26" x14ac:dyDescent="0.2">
      <c r="J67" s="2" t="str">
        <f t="shared" si="16"/>
        <v/>
      </c>
      <c r="K67" s="5" t="str">
        <f t="shared" si="17"/>
        <v/>
      </c>
      <c r="L67" s="10" t="str">
        <f t="shared" si="15"/>
        <v/>
      </c>
      <c r="M67" s="5" t="str">
        <f t="shared" si="18"/>
        <v/>
      </c>
      <c r="N67" s="2" t="str">
        <f t="shared" si="7"/>
        <v/>
      </c>
      <c r="O67" s="5" t="str">
        <f t="shared" si="8"/>
        <v/>
      </c>
      <c r="P67" s="13" t="str">
        <f t="shared" si="9"/>
        <v/>
      </c>
      <c r="Q67" s="5" t="str">
        <f t="shared" si="10"/>
        <v/>
      </c>
      <c r="S67" s="2" t="str">
        <f t="shared" si="19"/>
        <v/>
      </c>
      <c r="T67" s="5" t="str">
        <f t="shared" si="20"/>
        <v/>
      </c>
      <c r="U67" s="10" t="str">
        <f t="shared" si="21"/>
        <v/>
      </c>
      <c r="V67" s="5" t="str">
        <f t="shared" si="22"/>
        <v/>
      </c>
      <c r="W67" s="2" t="str">
        <f t="shared" si="11"/>
        <v/>
      </c>
      <c r="X67" s="5" t="str">
        <f t="shared" si="12"/>
        <v/>
      </c>
      <c r="Y67" s="13" t="str">
        <f t="shared" si="13"/>
        <v/>
      </c>
      <c r="Z67" s="5" t="str">
        <f t="shared" si="14"/>
        <v/>
      </c>
    </row>
    <row r="68" spans="10:26" x14ac:dyDescent="0.2">
      <c r="J68" s="2" t="str">
        <f t="shared" ref="J68:J103" si="23">IF(J67="","",IF(J67=$C$4*$C$6,"",J67+1))</f>
        <v/>
      </c>
      <c r="K68" s="5" t="str">
        <f t="shared" ref="K68:K103" si="24">IF(K67="","",IF(K67=$C$4,"",K67+1/$C$6))</f>
        <v/>
      </c>
      <c r="L68" s="10" t="str">
        <f t="shared" si="15"/>
        <v/>
      </c>
      <c r="M68" s="5" t="str">
        <f t="shared" ref="M68:M103" si="25">IF(K68="","",IF(K68&lt;$C$4,$C$7,IF(K68=$C$4,$C$3+$C$7)))</f>
        <v/>
      </c>
      <c r="N68" s="2" t="str">
        <f t="shared" si="7"/>
        <v/>
      </c>
      <c r="O68" s="5" t="str">
        <f t="shared" si="8"/>
        <v/>
      </c>
      <c r="P68" s="13" t="str">
        <f t="shared" si="9"/>
        <v/>
      </c>
      <c r="Q68" s="5" t="str">
        <f t="shared" si="10"/>
        <v/>
      </c>
      <c r="S68" s="2" t="str">
        <f t="shared" ref="S68:S103" si="26">IF(S67="","",IF(S67=$C$4*$C$6,"",S67+1))</f>
        <v/>
      </c>
      <c r="T68" s="5" t="str">
        <f t="shared" ref="T68:T103" si="27">IF(T67="","",IF(T67=$C$4,"",T67+1/$C$6))</f>
        <v/>
      </c>
      <c r="U68" s="10" t="str">
        <f t="shared" ref="U68:U103" si="28">IF(ISNUMBER(S68),$C$9,"")</f>
        <v/>
      </c>
      <c r="V68" s="5" t="str">
        <f t="shared" ref="V68:V103" si="29">IF(T68="","",IF(T68&lt;$C$4,$C$7,IF(T68=$C$4,$C$3+$C$7)))</f>
        <v/>
      </c>
      <c r="W68" s="2" t="str">
        <f t="shared" si="11"/>
        <v/>
      </c>
      <c r="X68" s="5" t="str">
        <f t="shared" si="12"/>
        <v/>
      </c>
      <c r="Y68" s="13" t="str">
        <f t="shared" si="13"/>
        <v/>
      </c>
      <c r="Z68" s="5" t="str">
        <f t="shared" si="14"/>
        <v/>
      </c>
    </row>
    <row r="69" spans="10:26" x14ac:dyDescent="0.2">
      <c r="J69" s="2" t="str">
        <f t="shared" si="23"/>
        <v/>
      </c>
      <c r="K69" s="5" t="str">
        <f t="shared" si="24"/>
        <v/>
      </c>
      <c r="L69" s="10" t="str">
        <f t="shared" ref="L69:L103" si="30">IF(ISNUMBER(J69),IF(K69&gt;7,(0.04+0.000352*6.5*2),(0.04+0.000352*(K69-0.5)*2)),"")</f>
        <v/>
      </c>
      <c r="M69" s="5" t="str">
        <f t="shared" si="25"/>
        <v/>
      </c>
      <c r="N69" s="2" t="str">
        <f t="shared" ref="N69:N103" si="31">IF(ISNUMBER(K69),1/(1+L69)^K69,"")</f>
        <v/>
      </c>
      <c r="O69" s="5" t="str">
        <f t="shared" ref="O69:O103" si="32">IF(ISNUMBER(M69),N69*M69,"")</f>
        <v/>
      </c>
      <c r="P69" s="13" t="str">
        <f t="shared" ref="P69:P103" si="33">IF(ISNUMBER(K69),(1/(1+(L69+$C$15/10000))^K69)*M69,"")</f>
        <v/>
      </c>
      <c r="Q69" s="5" t="str">
        <f t="shared" ref="Q69:Q103" si="34">IF(ISNUMBER(K69),(1/(1+(L69-$C$15/10000))^K69)*M69,"")</f>
        <v/>
      </c>
      <c r="S69" s="2" t="str">
        <f t="shared" si="26"/>
        <v/>
      </c>
      <c r="T69" s="5" t="str">
        <f t="shared" si="27"/>
        <v/>
      </c>
      <c r="U69" s="10" t="str">
        <f t="shared" si="28"/>
        <v/>
      </c>
      <c r="V69" s="5" t="str">
        <f t="shared" si="29"/>
        <v/>
      </c>
      <c r="W69" s="2" t="str">
        <f t="shared" ref="W69:W103" si="35">IF(ISNUMBER(T69),1/(1+$C$9)^T69,"")</f>
        <v/>
      </c>
      <c r="X69" s="5" t="str">
        <f t="shared" ref="X69:X103" si="36">IF(ISNUMBER(V69),W69*V69,"")</f>
        <v/>
      </c>
      <c r="Y69" s="13" t="str">
        <f t="shared" ref="Y69:Y103" si="37">IF(ISNUMBER(T69),(1/(1+($U$4+$C$15/10000))^T69)*V69,"")</f>
        <v/>
      </c>
      <c r="Z69" s="5" t="str">
        <f t="shared" ref="Z69:Z103" si="38">IF(ISNUMBER(T69),(1/(1+($U$4-$C$15/10000))^T69)*V69,"")</f>
        <v/>
      </c>
    </row>
    <row r="70" spans="10:26" x14ac:dyDescent="0.2">
      <c r="J70" s="2" t="str">
        <f t="shared" si="23"/>
        <v/>
      </c>
      <c r="K70" s="5" t="str">
        <f t="shared" si="24"/>
        <v/>
      </c>
      <c r="L70" s="10" t="str">
        <f t="shared" si="30"/>
        <v/>
      </c>
      <c r="M70" s="5" t="str">
        <f t="shared" si="25"/>
        <v/>
      </c>
      <c r="N70" s="2" t="str">
        <f t="shared" si="31"/>
        <v/>
      </c>
      <c r="O70" s="5" t="str">
        <f t="shared" si="32"/>
        <v/>
      </c>
      <c r="P70" s="13" t="str">
        <f t="shared" si="33"/>
        <v/>
      </c>
      <c r="Q70" s="5" t="str">
        <f t="shared" si="34"/>
        <v/>
      </c>
      <c r="S70" s="2" t="str">
        <f t="shared" si="26"/>
        <v/>
      </c>
      <c r="T70" s="5" t="str">
        <f t="shared" si="27"/>
        <v/>
      </c>
      <c r="U70" s="10" t="str">
        <f t="shared" si="28"/>
        <v/>
      </c>
      <c r="V70" s="5" t="str">
        <f t="shared" si="29"/>
        <v/>
      </c>
      <c r="W70" s="2" t="str">
        <f t="shared" si="35"/>
        <v/>
      </c>
      <c r="X70" s="5" t="str">
        <f t="shared" si="36"/>
        <v/>
      </c>
      <c r="Y70" s="13" t="str">
        <f t="shared" si="37"/>
        <v/>
      </c>
      <c r="Z70" s="5" t="str">
        <f t="shared" si="38"/>
        <v/>
      </c>
    </row>
    <row r="71" spans="10:26" x14ac:dyDescent="0.2">
      <c r="J71" s="2" t="str">
        <f t="shared" si="23"/>
        <v/>
      </c>
      <c r="K71" s="5" t="str">
        <f t="shared" si="24"/>
        <v/>
      </c>
      <c r="L71" s="10" t="str">
        <f t="shared" si="30"/>
        <v/>
      </c>
      <c r="M71" s="5" t="str">
        <f t="shared" si="25"/>
        <v/>
      </c>
      <c r="N71" s="2" t="str">
        <f t="shared" si="31"/>
        <v/>
      </c>
      <c r="O71" s="5" t="str">
        <f t="shared" si="32"/>
        <v/>
      </c>
      <c r="P71" s="13" t="str">
        <f t="shared" si="33"/>
        <v/>
      </c>
      <c r="Q71" s="5" t="str">
        <f t="shared" si="34"/>
        <v/>
      </c>
      <c r="S71" s="2" t="str">
        <f t="shared" si="26"/>
        <v/>
      </c>
      <c r="T71" s="5" t="str">
        <f t="shared" si="27"/>
        <v/>
      </c>
      <c r="U71" s="10" t="str">
        <f t="shared" si="28"/>
        <v/>
      </c>
      <c r="V71" s="5" t="str">
        <f t="shared" si="29"/>
        <v/>
      </c>
      <c r="W71" s="2" t="str">
        <f t="shared" si="35"/>
        <v/>
      </c>
      <c r="X71" s="5" t="str">
        <f t="shared" si="36"/>
        <v/>
      </c>
      <c r="Y71" s="13" t="str">
        <f t="shared" si="37"/>
        <v/>
      </c>
      <c r="Z71" s="5" t="str">
        <f t="shared" si="38"/>
        <v/>
      </c>
    </row>
    <row r="72" spans="10:26" x14ac:dyDescent="0.2">
      <c r="J72" s="2" t="str">
        <f t="shared" si="23"/>
        <v/>
      </c>
      <c r="K72" s="5" t="str">
        <f t="shared" si="24"/>
        <v/>
      </c>
      <c r="L72" s="10" t="str">
        <f t="shared" si="30"/>
        <v/>
      </c>
      <c r="M72" s="5" t="str">
        <f t="shared" si="25"/>
        <v/>
      </c>
      <c r="N72" s="2" t="str">
        <f t="shared" si="31"/>
        <v/>
      </c>
      <c r="O72" s="5" t="str">
        <f t="shared" si="32"/>
        <v/>
      </c>
      <c r="P72" s="13" t="str">
        <f t="shared" si="33"/>
        <v/>
      </c>
      <c r="Q72" s="5" t="str">
        <f t="shared" si="34"/>
        <v/>
      </c>
      <c r="S72" s="2" t="str">
        <f t="shared" si="26"/>
        <v/>
      </c>
      <c r="T72" s="5" t="str">
        <f t="shared" si="27"/>
        <v/>
      </c>
      <c r="U72" s="10" t="str">
        <f t="shared" si="28"/>
        <v/>
      </c>
      <c r="V72" s="5" t="str">
        <f t="shared" si="29"/>
        <v/>
      </c>
      <c r="W72" s="2" t="str">
        <f t="shared" si="35"/>
        <v/>
      </c>
      <c r="X72" s="5" t="str">
        <f t="shared" si="36"/>
        <v/>
      </c>
      <c r="Y72" s="13" t="str">
        <f t="shared" si="37"/>
        <v/>
      </c>
      <c r="Z72" s="5" t="str">
        <f t="shared" si="38"/>
        <v/>
      </c>
    </row>
    <row r="73" spans="10:26" x14ac:dyDescent="0.2">
      <c r="J73" s="2" t="str">
        <f t="shared" si="23"/>
        <v/>
      </c>
      <c r="K73" s="5" t="str">
        <f t="shared" si="24"/>
        <v/>
      </c>
      <c r="L73" s="10" t="str">
        <f t="shared" si="30"/>
        <v/>
      </c>
      <c r="M73" s="5" t="str">
        <f t="shared" si="25"/>
        <v/>
      </c>
      <c r="N73" s="2" t="str">
        <f t="shared" si="31"/>
        <v/>
      </c>
      <c r="O73" s="5" t="str">
        <f t="shared" si="32"/>
        <v/>
      </c>
      <c r="P73" s="13" t="str">
        <f t="shared" si="33"/>
        <v/>
      </c>
      <c r="Q73" s="5" t="str">
        <f t="shared" si="34"/>
        <v/>
      </c>
      <c r="S73" s="2" t="str">
        <f t="shared" si="26"/>
        <v/>
      </c>
      <c r="T73" s="5" t="str">
        <f t="shared" si="27"/>
        <v/>
      </c>
      <c r="U73" s="10" t="str">
        <f t="shared" si="28"/>
        <v/>
      </c>
      <c r="V73" s="5" t="str">
        <f t="shared" si="29"/>
        <v/>
      </c>
      <c r="W73" s="2" t="str">
        <f t="shared" si="35"/>
        <v/>
      </c>
      <c r="X73" s="5" t="str">
        <f t="shared" si="36"/>
        <v/>
      </c>
      <c r="Y73" s="13" t="str">
        <f t="shared" si="37"/>
        <v/>
      </c>
      <c r="Z73" s="5" t="str">
        <f t="shared" si="38"/>
        <v/>
      </c>
    </row>
    <row r="74" spans="10:26" x14ac:dyDescent="0.2">
      <c r="J74" s="2" t="str">
        <f t="shared" si="23"/>
        <v/>
      </c>
      <c r="K74" s="5" t="str">
        <f t="shared" si="24"/>
        <v/>
      </c>
      <c r="L74" s="10" t="str">
        <f t="shared" si="30"/>
        <v/>
      </c>
      <c r="M74" s="5" t="str">
        <f t="shared" si="25"/>
        <v/>
      </c>
      <c r="N74" s="2" t="str">
        <f t="shared" si="31"/>
        <v/>
      </c>
      <c r="O74" s="5" t="str">
        <f t="shared" si="32"/>
        <v/>
      </c>
      <c r="P74" s="13" t="str">
        <f t="shared" si="33"/>
        <v/>
      </c>
      <c r="Q74" s="5" t="str">
        <f t="shared" si="34"/>
        <v/>
      </c>
      <c r="S74" s="2" t="str">
        <f t="shared" si="26"/>
        <v/>
      </c>
      <c r="T74" s="5" t="str">
        <f t="shared" si="27"/>
        <v/>
      </c>
      <c r="U74" s="10" t="str">
        <f t="shared" si="28"/>
        <v/>
      </c>
      <c r="V74" s="5" t="str">
        <f t="shared" si="29"/>
        <v/>
      </c>
      <c r="W74" s="2" t="str">
        <f t="shared" si="35"/>
        <v/>
      </c>
      <c r="X74" s="5" t="str">
        <f t="shared" si="36"/>
        <v/>
      </c>
      <c r="Y74" s="13" t="str">
        <f t="shared" si="37"/>
        <v/>
      </c>
      <c r="Z74" s="5" t="str">
        <f t="shared" si="38"/>
        <v/>
      </c>
    </row>
    <row r="75" spans="10:26" x14ac:dyDescent="0.2">
      <c r="J75" s="2" t="str">
        <f t="shared" si="23"/>
        <v/>
      </c>
      <c r="K75" s="5" t="str">
        <f t="shared" si="24"/>
        <v/>
      </c>
      <c r="L75" s="10" t="str">
        <f t="shared" si="30"/>
        <v/>
      </c>
      <c r="M75" s="5" t="str">
        <f t="shared" si="25"/>
        <v/>
      </c>
      <c r="N75" s="2" t="str">
        <f t="shared" si="31"/>
        <v/>
      </c>
      <c r="O75" s="5" t="str">
        <f t="shared" si="32"/>
        <v/>
      </c>
      <c r="P75" s="13" t="str">
        <f t="shared" si="33"/>
        <v/>
      </c>
      <c r="Q75" s="5" t="str">
        <f t="shared" si="34"/>
        <v/>
      </c>
      <c r="S75" s="2" t="str">
        <f t="shared" si="26"/>
        <v/>
      </c>
      <c r="T75" s="5" t="str">
        <f t="shared" si="27"/>
        <v/>
      </c>
      <c r="U75" s="10" t="str">
        <f t="shared" si="28"/>
        <v/>
      </c>
      <c r="V75" s="5" t="str">
        <f t="shared" si="29"/>
        <v/>
      </c>
      <c r="W75" s="2" t="str">
        <f t="shared" si="35"/>
        <v/>
      </c>
      <c r="X75" s="5" t="str">
        <f t="shared" si="36"/>
        <v/>
      </c>
      <c r="Y75" s="13" t="str">
        <f t="shared" si="37"/>
        <v/>
      </c>
      <c r="Z75" s="5" t="str">
        <f t="shared" si="38"/>
        <v/>
      </c>
    </row>
    <row r="76" spans="10:26" x14ac:dyDescent="0.2">
      <c r="J76" s="2" t="str">
        <f t="shared" si="23"/>
        <v/>
      </c>
      <c r="K76" s="5" t="str">
        <f t="shared" si="24"/>
        <v/>
      </c>
      <c r="L76" s="10" t="str">
        <f t="shared" si="30"/>
        <v/>
      </c>
      <c r="M76" s="5" t="str">
        <f t="shared" si="25"/>
        <v/>
      </c>
      <c r="N76" s="2" t="str">
        <f t="shared" si="31"/>
        <v/>
      </c>
      <c r="O76" s="5" t="str">
        <f t="shared" si="32"/>
        <v/>
      </c>
      <c r="P76" s="13" t="str">
        <f t="shared" si="33"/>
        <v/>
      </c>
      <c r="Q76" s="5" t="str">
        <f t="shared" si="34"/>
        <v/>
      </c>
      <c r="S76" s="2" t="str">
        <f t="shared" si="26"/>
        <v/>
      </c>
      <c r="T76" s="5" t="str">
        <f t="shared" si="27"/>
        <v/>
      </c>
      <c r="U76" s="10" t="str">
        <f t="shared" si="28"/>
        <v/>
      </c>
      <c r="V76" s="5" t="str">
        <f t="shared" si="29"/>
        <v/>
      </c>
      <c r="W76" s="2" t="str">
        <f t="shared" si="35"/>
        <v/>
      </c>
      <c r="X76" s="5" t="str">
        <f t="shared" si="36"/>
        <v/>
      </c>
      <c r="Y76" s="13" t="str">
        <f t="shared" si="37"/>
        <v/>
      </c>
      <c r="Z76" s="5" t="str">
        <f t="shared" si="38"/>
        <v/>
      </c>
    </row>
    <row r="77" spans="10:26" x14ac:dyDescent="0.2">
      <c r="J77" s="2" t="str">
        <f t="shared" si="23"/>
        <v/>
      </c>
      <c r="K77" s="5" t="str">
        <f t="shared" si="24"/>
        <v/>
      </c>
      <c r="L77" s="10" t="str">
        <f t="shared" si="30"/>
        <v/>
      </c>
      <c r="M77" s="5" t="str">
        <f t="shared" si="25"/>
        <v/>
      </c>
      <c r="N77" s="2" t="str">
        <f t="shared" si="31"/>
        <v/>
      </c>
      <c r="O77" s="5" t="str">
        <f t="shared" si="32"/>
        <v/>
      </c>
      <c r="P77" s="13" t="str">
        <f t="shared" si="33"/>
        <v/>
      </c>
      <c r="Q77" s="5" t="str">
        <f t="shared" si="34"/>
        <v/>
      </c>
      <c r="S77" s="2" t="str">
        <f t="shared" si="26"/>
        <v/>
      </c>
      <c r="T77" s="5" t="str">
        <f t="shared" si="27"/>
        <v/>
      </c>
      <c r="U77" s="10" t="str">
        <f t="shared" si="28"/>
        <v/>
      </c>
      <c r="V77" s="5" t="str">
        <f t="shared" si="29"/>
        <v/>
      </c>
      <c r="W77" s="2" t="str">
        <f t="shared" si="35"/>
        <v/>
      </c>
      <c r="X77" s="5" t="str">
        <f t="shared" si="36"/>
        <v/>
      </c>
      <c r="Y77" s="13" t="str">
        <f t="shared" si="37"/>
        <v/>
      </c>
      <c r="Z77" s="5" t="str">
        <f t="shared" si="38"/>
        <v/>
      </c>
    </row>
    <row r="78" spans="10:26" x14ac:dyDescent="0.2">
      <c r="J78" s="2" t="str">
        <f t="shared" si="23"/>
        <v/>
      </c>
      <c r="K78" s="5" t="str">
        <f t="shared" si="24"/>
        <v/>
      </c>
      <c r="L78" s="10" t="str">
        <f t="shared" si="30"/>
        <v/>
      </c>
      <c r="M78" s="5" t="str">
        <f t="shared" si="25"/>
        <v/>
      </c>
      <c r="N78" s="2" t="str">
        <f t="shared" si="31"/>
        <v/>
      </c>
      <c r="O78" s="5" t="str">
        <f t="shared" si="32"/>
        <v/>
      </c>
      <c r="P78" s="13" t="str">
        <f t="shared" si="33"/>
        <v/>
      </c>
      <c r="Q78" s="5" t="str">
        <f t="shared" si="34"/>
        <v/>
      </c>
      <c r="S78" s="2" t="str">
        <f t="shared" si="26"/>
        <v/>
      </c>
      <c r="T78" s="5" t="str">
        <f t="shared" si="27"/>
        <v/>
      </c>
      <c r="U78" s="10" t="str">
        <f t="shared" si="28"/>
        <v/>
      </c>
      <c r="V78" s="5" t="str">
        <f t="shared" si="29"/>
        <v/>
      </c>
      <c r="W78" s="2" t="str">
        <f t="shared" si="35"/>
        <v/>
      </c>
      <c r="X78" s="5" t="str">
        <f t="shared" si="36"/>
        <v/>
      </c>
      <c r="Y78" s="13" t="str">
        <f t="shared" si="37"/>
        <v/>
      </c>
      <c r="Z78" s="5" t="str">
        <f t="shared" si="38"/>
        <v/>
      </c>
    </row>
    <row r="79" spans="10:26" x14ac:dyDescent="0.2">
      <c r="J79" s="2" t="str">
        <f t="shared" si="23"/>
        <v/>
      </c>
      <c r="K79" s="5" t="str">
        <f t="shared" si="24"/>
        <v/>
      </c>
      <c r="L79" s="10" t="str">
        <f t="shared" si="30"/>
        <v/>
      </c>
      <c r="M79" s="5" t="str">
        <f t="shared" si="25"/>
        <v/>
      </c>
      <c r="N79" s="2" t="str">
        <f t="shared" si="31"/>
        <v/>
      </c>
      <c r="O79" s="5" t="str">
        <f t="shared" si="32"/>
        <v/>
      </c>
      <c r="P79" s="13" t="str">
        <f t="shared" si="33"/>
        <v/>
      </c>
      <c r="Q79" s="5" t="str">
        <f t="shared" si="34"/>
        <v/>
      </c>
      <c r="S79" s="2" t="str">
        <f t="shared" si="26"/>
        <v/>
      </c>
      <c r="T79" s="5" t="str">
        <f t="shared" si="27"/>
        <v/>
      </c>
      <c r="U79" s="10" t="str">
        <f t="shared" si="28"/>
        <v/>
      </c>
      <c r="V79" s="5" t="str">
        <f t="shared" si="29"/>
        <v/>
      </c>
      <c r="W79" s="2" t="str">
        <f t="shared" si="35"/>
        <v/>
      </c>
      <c r="X79" s="5" t="str">
        <f t="shared" si="36"/>
        <v/>
      </c>
      <c r="Y79" s="13" t="str">
        <f t="shared" si="37"/>
        <v/>
      </c>
      <c r="Z79" s="5" t="str">
        <f t="shared" si="38"/>
        <v/>
      </c>
    </row>
    <row r="80" spans="10:26" x14ac:dyDescent="0.2">
      <c r="J80" s="2" t="str">
        <f t="shared" si="23"/>
        <v/>
      </c>
      <c r="K80" s="5" t="str">
        <f t="shared" si="24"/>
        <v/>
      </c>
      <c r="L80" s="10" t="str">
        <f t="shared" si="30"/>
        <v/>
      </c>
      <c r="M80" s="5" t="str">
        <f t="shared" si="25"/>
        <v/>
      </c>
      <c r="N80" s="2" t="str">
        <f t="shared" si="31"/>
        <v/>
      </c>
      <c r="O80" s="5" t="str">
        <f t="shared" si="32"/>
        <v/>
      </c>
      <c r="P80" s="13" t="str">
        <f t="shared" si="33"/>
        <v/>
      </c>
      <c r="Q80" s="5" t="str">
        <f t="shared" si="34"/>
        <v/>
      </c>
      <c r="S80" s="2" t="str">
        <f t="shared" si="26"/>
        <v/>
      </c>
      <c r="T80" s="5" t="str">
        <f t="shared" si="27"/>
        <v/>
      </c>
      <c r="U80" s="10" t="str">
        <f t="shared" si="28"/>
        <v/>
      </c>
      <c r="V80" s="5" t="str">
        <f t="shared" si="29"/>
        <v/>
      </c>
      <c r="W80" s="2" t="str">
        <f t="shared" si="35"/>
        <v/>
      </c>
      <c r="X80" s="5" t="str">
        <f t="shared" si="36"/>
        <v/>
      </c>
      <c r="Y80" s="13" t="str">
        <f t="shared" si="37"/>
        <v/>
      </c>
      <c r="Z80" s="5" t="str">
        <f t="shared" si="38"/>
        <v/>
      </c>
    </row>
    <row r="81" spans="10:26" x14ac:dyDescent="0.2">
      <c r="J81" s="2" t="str">
        <f t="shared" si="23"/>
        <v/>
      </c>
      <c r="K81" s="5" t="str">
        <f t="shared" si="24"/>
        <v/>
      </c>
      <c r="L81" s="10" t="str">
        <f t="shared" si="30"/>
        <v/>
      </c>
      <c r="M81" s="5" t="str">
        <f t="shared" si="25"/>
        <v/>
      </c>
      <c r="N81" s="2" t="str">
        <f t="shared" si="31"/>
        <v/>
      </c>
      <c r="O81" s="5" t="str">
        <f t="shared" si="32"/>
        <v/>
      </c>
      <c r="P81" s="13" t="str">
        <f t="shared" si="33"/>
        <v/>
      </c>
      <c r="Q81" s="5" t="str">
        <f t="shared" si="34"/>
        <v/>
      </c>
      <c r="S81" s="2" t="str">
        <f t="shared" si="26"/>
        <v/>
      </c>
      <c r="T81" s="5" t="str">
        <f t="shared" si="27"/>
        <v/>
      </c>
      <c r="U81" s="10" t="str">
        <f t="shared" si="28"/>
        <v/>
      </c>
      <c r="V81" s="5" t="str">
        <f t="shared" si="29"/>
        <v/>
      </c>
      <c r="W81" s="2" t="str">
        <f t="shared" si="35"/>
        <v/>
      </c>
      <c r="X81" s="5" t="str">
        <f t="shared" si="36"/>
        <v/>
      </c>
      <c r="Y81" s="13" t="str">
        <f t="shared" si="37"/>
        <v/>
      </c>
      <c r="Z81" s="5" t="str">
        <f t="shared" si="38"/>
        <v/>
      </c>
    </row>
    <row r="82" spans="10:26" x14ac:dyDescent="0.2">
      <c r="J82" s="2" t="str">
        <f t="shared" si="23"/>
        <v/>
      </c>
      <c r="K82" s="5" t="str">
        <f t="shared" si="24"/>
        <v/>
      </c>
      <c r="L82" s="10" t="str">
        <f t="shared" si="30"/>
        <v/>
      </c>
      <c r="M82" s="5" t="str">
        <f t="shared" si="25"/>
        <v/>
      </c>
      <c r="N82" s="2" t="str">
        <f t="shared" si="31"/>
        <v/>
      </c>
      <c r="O82" s="5" t="str">
        <f t="shared" si="32"/>
        <v/>
      </c>
      <c r="P82" s="13" t="str">
        <f t="shared" si="33"/>
        <v/>
      </c>
      <c r="Q82" s="5" t="str">
        <f t="shared" si="34"/>
        <v/>
      </c>
      <c r="S82" s="2" t="str">
        <f t="shared" si="26"/>
        <v/>
      </c>
      <c r="T82" s="5" t="str">
        <f t="shared" si="27"/>
        <v/>
      </c>
      <c r="U82" s="10" t="str">
        <f t="shared" si="28"/>
        <v/>
      </c>
      <c r="V82" s="5" t="str">
        <f t="shared" si="29"/>
        <v/>
      </c>
      <c r="W82" s="2" t="str">
        <f t="shared" si="35"/>
        <v/>
      </c>
      <c r="X82" s="5" t="str">
        <f t="shared" si="36"/>
        <v/>
      </c>
      <c r="Y82" s="13" t="str">
        <f t="shared" si="37"/>
        <v/>
      </c>
      <c r="Z82" s="5" t="str">
        <f t="shared" si="38"/>
        <v/>
      </c>
    </row>
    <row r="83" spans="10:26" x14ac:dyDescent="0.2">
      <c r="J83" s="2" t="str">
        <f t="shared" si="23"/>
        <v/>
      </c>
      <c r="K83" s="5" t="str">
        <f t="shared" si="24"/>
        <v/>
      </c>
      <c r="L83" s="10" t="str">
        <f t="shared" si="30"/>
        <v/>
      </c>
      <c r="M83" s="5" t="str">
        <f t="shared" si="25"/>
        <v/>
      </c>
      <c r="N83" s="2" t="str">
        <f t="shared" si="31"/>
        <v/>
      </c>
      <c r="O83" s="5" t="str">
        <f t="shared" si="32"/>
        <v/>
      </c>
      <c r="P83" s="13" t="str">
        <f t="shared" si="33"/>
        <v/>
      </c>
      <c r="Q83" s="5" t="str">
        <f t="shared" si="34"/>
        <v/>
      </c>
      <c r="S83" s="2" t="str">
        <f t="shared" si="26"/>
        <v/>
      </c>
      <c r="T83" s="5" t="str">
        <f t="shared" si="27"/>
        <v/>
      </c>
      <c r="U83" s="10" t="str">
        <f t="shared" si="28"/>
        <v/>
      </c>
      <c r="V83" s="5" t="str">
        <f t="shared" si="29"/>
        <v/>
      </c>
      <c r="W83" s="2" t="str">
        <f t="shared" si="35"/>
        <v/>
      </c>
      <c r="X83" s="5" t="str">
        <f t="shared" si="36"/>
        <v/>
      </c>
      <c r="Y83" s="13" t="str">
        <f t="shared" si="37"/>
        <v/>
      </c>
      <c r="Z83" s="5" t="str">
        <f t="shared" si="38"/>
        <v/>
      </c>
    </row>
    <row r="84" spans="10:26" x14ac:dyDescent="0.2">
      <c r="J84" s="2" t="str">
        <f t="shared" si="23"/>
        <v/>
      </c>
      <c r="K84" s="5" t="str">
        <f t="shared" si="24"/>
        <v/>
      </c>
      <c r="L84" s="10" t="str">
        <f t="shared" si="30"/>
        <v/>
      </c>
      <c r="M84" s="5" t="str">
        <f t="shared" si="25"/>
        <v/>
      </c>
      <c r="N84" s="2" t="str">
        <f t="shared" si="31"/>
        <v/>
      </c>
      <c r="O84" s="5" t="str">
        <f t="shared" si="32"/>
        <v/>
      </c>
      <c r="P84" s="13" t="str">
        <f t="shared" si="33"/>
        <v/>
      </c>
      <c r="Q84" s="5" t="str">
        <f t="shared" si="34"/>
        <v/>
      </c>
      <c r="S84" s="2" t="str">
        <f t="shared" si="26"/>
        <v/>
      </c>
      <c r="T84" s="5" t="str">
        <f t="shared" si="27"/>
        <v/>
      </c>
      <c r="U84" s="10" t="str">
        <f t="shared" si="28"/>
        <v/>
      </c>
      <c r="V84" s="5" t="str">
        <f t="shared" si="29"/>
        <v/>
      </c>
      <c r="W84" s="2" t="str">
        <f t="shared" si="35"/>
        <v/>
      </c>
      <c r="X84" s="5" t="str">
        <f t="shared" si="36"/>
        <v/>
      </c>
      <c r="Y84" s="13" t="str">
        <f t="shared" si="37"/>
        <v/>
      </c>
      <c r="Z84" s="5" t="str">
        <f t="shared" si="38"/>
        <v/>
      </c>
    </row>
    <row r="85" spans="10:26" x14ac:dyDescent="0.2">
      <c r="J85" s="2" t="str">
        <f t="shared" si="23"/>
        <v/>
      </c>
      <c r="K85" s="5" t="str">
        <f t="shared" si="24"/>
        <v/>
      </c>
      <c r="L85" s="10" t="str">
        <f t="shared" si="30"/>
        <v/>
      </c>
      <c r="M85" s="5" t="str">
        <f t="shared" si="25"/>
        <v/>
      </c>
      <c r="N85" s="2" t="str">
        <f t="shared" si="31"/>
        <v/>
      </c>
      <c r="O85" s="5" t="str">
        <f t="shared" si="32"/>
        <v/>
      </c>
      <c r="P85" s="13" t="str">
        <f t="shared" si="33"/>
        <v/>
      </c>
      <c r="Q85" s="5" t="str">
        <f t="shared" si="34"/>
        <v/>
      </c>
      <c r="S85" s="2" t="str">
        <f t="shared" si="26"/>
        <v/>
      </c>
      <c r="T85" s="5" t="str">
        <f t="shared" si="27"/>
        <v/>
      </c>
      <c r="U85" s="10" t="str">
        <f t="shared" si="28"/>
        <v/>
      </c>
      <c r="V85" s="5" t="str">
        <f t="shared" si="29"/>
        <v/>
      </c>
      <c r="W85" s="2" t="str">
        <f t="shared" si="35"/>
        <v/>
      </c>
      <c r="X85" s="5" t="str">
        <f t="shared" si="36"/>
        <v/>
      </c>
      <c r="Y85" s="13" t="str">
        <f t="shared" si="37"/>
        <v/>
      </c>
      <c r="Z85" s="5" t="str">
        <f t="shared" si="38"/>
        <v/>
      </c>
    </row>
    <row r="86" spans="10:26" x14ac:dyDescent="0.2">
      <c r="J86" s="2" t="str">
        <f t="shared" si="23"/>
        <v/>
      </c>
      <c r="K86" s="5" t="str">
        <f t="shared" si="24"/>
        <v/>
      </c>
      <c r="L86" s="10" t="str">
        <f t="shared" si="30"/>
        <v/>
      </c>
      <c r="M86" s="5" t="str">
        <f t="shared" si="25"/>
        <v/>
      </c>
      <c r="N86" s="2" t="str">
        <f t="shared" si="31"/>
        <v/>
      </c>
      <c r="O86" s="5" t="str">
        <f t="shared" si="32"/>
        <v/>
      </c>
      <c r="P86" s="13" t="str">
        <f t="shared" si="33"/>
        <v/>
      </c>
      <c r="Q86" s="5" t="str">
        <f t="shared" si="34"/>
        <v/>
      </c>
      <c r="S86" s="2" t="str">
        <f t="shared" si="26"/>
        <v/>
      </c>
      <c r="T86" s="5" t="str">
        <f t="shared" si="27"/>
        <v/>
      </c>
      <c r="U86" s="10" t="str">
        <f t="shared" si="28"/>
        <v/>
      </c>
      <c r="V86" s="5" t="str">
        <f t="shared" si="29"/>
        <v/>
      </c>
      <c r="W86" s="2" t="str">
        <f t="shared" si="35"/>
        <v/>
      </c>
      <c r="X86" s="5" t="str">
        <f t="shared" si="36"/>
        <v/>
      </c>
      <c r="Y86" s="13" t="str">
        <f t="shared" si="37"/>
        <v/>
      </c>
      <c r="Z86" s="5" t="str">
        <f t="shared" si="38"/>
        <v/>
      </c>
    </row>
    <row r="87" spans="10:26" x14ac:dyDescent="0.2">
      <c r="J87" s="2" t="str">
        <f t="shared" si="23"/>
        <v/>
      </c>
      <c r="K87" s="5" t="str">
        <f t="shared" si="24"/>
        <v/>
      </c>
      <c r="L87" s="10" t="str">
        <f t="shared" si="30"/>
        <v/>
      </c>
      <c r="M87" s="5" t="str">
        <f t="shared" si="25"/>
        <v/>
      </c>
      <c r="N87" s="2" t="str">
        <f t="shared" si="31"/>
        <v/>
      </c>
      <c r="O87" s="5" t="str">
        <f t="shared" si="32"/>
        <v/>
      </c>
      <c r="P87" s="13" t="str">
        <f t="shared" si="33"/>
        <v/>
      </c>
      <c r="Q87" s="5" t="str">
        <f t="shared" si="34"/>
        <v/>
      </c>
      <c r="S87" s="2" t="str">
        <f t="shared" si="26"/>
        <v/>
      </c>
      <c r="T87" s="5" t="str">
        <f t="shared" si="27"/>
        <v/>
      </c>
      <c r="U87" s="10" t="str">
        <f t="shared" si="28"/>
        <v/>
      </c>
      <c r="V87" s="5" t="str">
        <f t="shared" si="29"/>
        <v/>
      </c>
      <c r="W87" s="2" t="str">
        <f t="shared" si="35"/>
        <v/>
      </c>
      <c r="X87" s="5" t="str">
        <f t="shared" si="36"/>
        <v/>
      </c>
      <c r="Y87" s="13" t="str">
        <f t="shared" si="37"/>
        <v/>
      </c>
      <c r="Z87" s="5" t="str">
        <f t="shared" si="38"/>
        <v/>
      </c>
    </row>
    <row r="88" spans="10:26" x14ac:dyDescent="0.2">
      <c r="J88" s="2" t="str">
        <f t="shared" si="23"/>
        <v/>
      </c>
      <c r="K88" s="5" t="str">
        <f t="shared" si="24"/>
        <v/>
      </c>
      <c r="L88" s="10" t="str">
        <f t="shared" si="30"/>
        <v/>
      </c>
      <c r="M88" s="5" t="str">
        <f t="shared" si="25"/>
        <v/>
      </c>
      <c r="N88" s="2" t="str">
        <f t="shared" si="31"/>
        <v/>
      </c>
      <c r="O88" s="5" t="str">
        <f t="shared" si="32"/>
        <v/>
      </c>
      <c r="P88" s="13" t="str">
        <f t="shared" si="33"/>
        <v/>
      </c>
      <c r="Q88" s="5" t="str">
        <f t="shared" si="34"/>
        <v/>
      </c>
      <c r="S88" s="2" t="str">
        <f t="shared" si="26"/>
        <v/>
      </c>
      <c r="T88" s="5" t="str">
        <f t="shared" si="27"/>
        <v/>
      </c>
      <c r="U88" s="10" t="str">
        <f t="shared" si="28"/>
        <v/>
      </c>
      <c r="V88" s="5" t="str">
        <f t="shared" si="29"/>
        <v/>
      </c>
      <c r="W88" s="2" t="str">
        <f t="shared" si="35"/>
        <v/>
      </c>
      <c r="X88" s="5" t="str">
        <f t="shared" si="36"/>
        <v/>
      </c>
      <c r="Y88" s="13" t="str">
        <f t="shared" si="37"/>
        <v/>
      </c>
      <c r="Z88" s="5" t="str">
        <f t="shared" si="38"/>
        <v/>
      </c>
    </row>
    <row r="89" spans="10:26" x14ac:dyDescent="0.2">
      <c r="J89" s="2" t="str">
        <f t="shared" si="23"/>
        <v/>
      </c>
      <c r="K89" s="5" t="str">
        <f t="shared" si="24"/>
        <v/>
      </c>
      <c r="L89" s="10" t="str">
        <f t="shared" si="30"/>
        <v/>
      </c>
      <c r="M89" s="5" t="str">
        <f t="shared" si="25"/>
        <v/>
      </c>
      <c r="N89" s="2" t="str">
        <f t="shared" si="31"/>
        <v/>
      </c>
      <c r="O89" s="5" t="str">
        <f t="shared" si="32"/>
        <v/>
      </c>
      <c r="P89" s="13" t="str">
        <f t="shared" si="33"/>
        <v/>
      </c>
      <c r="Q89" s="5" t="str">
        <f t="shared" si="34"/>
        <v/>
      </c>
      <c r="S89" s="2" t="str">
        <f t="shared" si="26"/>
        <v/>
      </c>
      <c r="T89" s="5" t="str">
        <f t="shared" si="27"/>
        <v/>
      </c>
      <c r="U89" s="10" t="str">
        <f t="shared" si="28"/>
        <v/>
      </c>
      <c r="V89" s="5" t="str">
        <f t="shared" si="29"/>
        <v/>
      </c>
      <c r="W89" s="2" t="str">
        <f t="shared" si="35"/>
        <v/>
      </c>
      <c r="X89" s="5" t="str">
        <f t="shared" si="36"/>
        <v/>
      </c>
      <c r="Y89" s="13" t="str">
        <f t="shared" si="37"/>
        <v/>
      </c>
      <c r="Z89" s="5" t="str">
        <f t="shared" si="38"/>
        <v/>
      </c>
    </row>
    <row r="90" spans="10:26" x14ac:dyDescent="0.2">
      <c r="J90" s="2" t="str">
        <f t="shared" si="23"/>
        <v/>
      </c>
      <c r="K90" s="5" t="str">
        <f t="shared" si="24"/>
        <v/>
      </c>
      <c r="L90" s="10" t="str">
        <f t="shared" si="30"/>
        <v/>
      </c>
      <c r="M90" s="5" t="str">
        <f t="shared" si="25"/>
        <v/>
      </c>
      <c r="N90" s="2" t="str">
        <f t="shared" si="31"/>
        <v/>
      </c>
      <c r="O90" s="5" t="str">
        <f t="shared" si="32"/>
        <v/>
      </c>
      <c r="P90" s="13" t="str">
        <f t="shared" si="33"/>
        <v/>
      </c>
      <c r="Q90" s="5" t="str">
        <f t="shared" si="34"/>
        <v/>
      </c>
      <c r="S90" s="2" t="str">
        <f t="shared" si="26"/>
        <v/>
      </c>
      <c r="T90" s="5" t="str">
        <f t="shared" si="27"/>
        <v/>
      </c>
      <c r="U90" s="10" t="str">
        <f t="shared" si="28"/>
        <v/>
      </c>
      <c r="V90" s="5" t="str">
        <f t="shared" si="29"/>
        <v/>
      </c>
      <c r="W90" s="2" t="str">
        <f t="shared" si="35"/>
        <v/>
      </c>
      <c r="X90" s="5" t="str">
        <f t="shared" si="36"/>
        <v/>
      </c>
      <c r="Y90" s="13" t="str">
        <f t="shared" si="37"/>
        <v/>
      </c>
      <c r="Z90" s="5" t="str">
        <f t="shared" si="38"/>
        <v/>
      </c>
    </row>
    <row r="91" spans="10:26" x14ac:dyDescent="0.2">
      <c r="J91" s="2" t="str">
        <f t="shared" si="23"/>
        <v/>
      </c>
      <c r="K91" s="5" t="str">
        <f t="shared" si="24"/>
        <v/>
      </c>
      <c r="L91" s="10" t="str">
        <f t="shared" si="30"/>
        <v/>
      </c>
      <c r="M91" s="5" t="str">
        <f t="shared" si="25"/>
        <v/>
      </c>
      <c r="N91" s="2" t="str">
        <f t="shared" si="31"/>
        <v/>
      </c>
      <c r="O91" s="5" t="str">
        <f t="shared" si="32"/>
        <v/>
      </c>
      <c r="P91" s="13" t="str">
        <f t="shared" si="33"/>
        <v/>
      </c>
      <c r="Q91" s="5" t="str">
        <f t="shared" si="34"/>
        <v/>
      </c>
      <c r="S91" s="2" t="str">
        <f t="shared" si="26"/>
        <v/>
      </c>
      <c r="T91" s="5" t="str">
        <f t="shared" si="27"/>
        <v/>
      </c>
      <c r="U91" s="10" t="str">
        <f t="shared" si="28"/>
        <v/>
      </c>
      <c r="V91" s="5" t="str">
        <f t="shared" si="29"/>
        <v/>
      </c>
      <c r="W91" s="2" t="str">
        <f t="shared" si="35"/>
        <v/>
      </c>
      <c r="X91" s="5" t="str">
        <f t="shared" si="36"/>
        <v/>
      </c>
      <c r="Y91" s="13" t="str">
        <f t="shared" si="37"/>
        <v/>
      </c>
      <c r="Z91" s="5" t="str">
        <f t="shared" si="38"/>
        <v/>
      </c>
    </row>
    <row r="92" spans="10:26" x14ac:dyDescent="0.2">
      <c r="J92" s="2" t="str">
        <f t="shared" si="23"/>
        <v/>
      </c>
      <c r="K92" s="5" t="str">
        <f t="shared" si="24"/>
        <v/>
      </c>
      <c r="L92" s="10" t="str">
        <f t="shared" si="30"/>
        <v/>
      </c>
      <c r="M92" s="5" t="str">
        <f t="shared" si="25"/>
        <v/>
      </c>
      <c r="N92" s="2" t="str">
        <f t="shared" si="31"/>
        <v/>
      </c>
      <c r="O92" s="5" t="str">
        <f t="shared" si="32"/>
        <v/>
      </c>
      <c r="P92" s="13" t="str">
        <f t="shared" si="33"/>
        <v/>
      </c>
      <c r="Q92" s="5" t="str">
        <f t="shared" si="34"/>
        <v/>
      </c>
      <c r="S92" s="2" t="str">
        <f t="shared" si="26"/>
        <v/>
      </c>
      <c r="T92" s="5" t="str">
        <f t="shared" si="27"/>
        <v/>
      </c>
      <c r="U92" s="10" t="str">
        <f t="shared" si="28"/>
        <v/>
      </c>
      <c r="V92" s="5" t="str">
        <f t="shared" si="29"/>
        <v/>
      </c>
      <c r="W92" s="2" t="str">
        <f t="shared" si="35"/>
        <v/>
      </c>
      <c r="X92" s="5" t="str">
        <f t="shared" si="36"/>
        <v/>
      </c>
      <c r="Y92" s="13" t="str">
        <f t="shared" si="37"/>
        <v/>
      </c>
      <c r="Z92" s="5" t="str">
        <f t="shared" si="38"/>
        <v/>
      </c>
    </row>
    <row r="93" spans="10:26" x14ac:dyDescent="0.2">
      <c r="J93" s="2" t="str">
        <f t="shared" si="23"/>
        <v/>
      </c>
      <c r="K93" s="5" t="str">
        <f t="shared" si="24"/>
        <v/>
      </c>
      <c r="L93" s="10" t="str">
        <f t="shared" si="30"/>
        <v/>
      </c>
      <c r="M93" s="5" t="str">
        <f t="shared" si="25"/>
        <v/>
      </c>
      <c r="N93" s="2" t="str">
        <f t="shared" si="31"/>
        <v/>
      </c>
      <c r="O93" s="5" t="str">
        <f t="shared" si="32"/>
        <v/>
      </c>
      <c r="P93" s="13" t="str">
        <f t="shared" si="33"/>
        <v/>
      </c>
      <c r="Q93" s="5" t="str">
        <f t="shared" si="34"/>
        <v/>
      </c>
      <c r="S93" s="2" t="str">
        <f t="shared" si="26"/>
        <v/>
      </c>
      <c r="T93" s="5" t="str">
        <f t="shared" si="27"/>
        <v/>
      </c>
      <c r="U93" s="10" t="str">
        <f t="shared" si="28"/>
        <v/>
      </c>
      <c r="V93" s="5" t="str">
        <f t="shared" si="29"/>
        <v/>
      </c>
      <c r="W93" s="2" t="str">
        <f t="shared" si="35"/>
        <v/>
      </c>
      <c r="X93" s="5" t="str">
        <f t="shared" si="36"/>
        <v/>
      </c>
      <c r="Y93" s="13" t="str">
        <f t="shared" si="37"/>
        <v/>
      </c>
      <c r="Z93" s="5" t="str">
        <f t="shared" si="38"/>
        <v/>
      </c>
    </row>
    <row r="94" spans="10:26" x14ac:dyDescent="0.2">
      <c r="J94" s="2" t="str">
        <f t="shared" si="23"/>
        <v/>
      </c>
      <c r="K94" s="5" t="str">
        <f t="shared" si="24"/>
        <v/>
      </c>
      <c r="L94" s="10" t="str">
        <f t="shared" si="30"/>
        <v/>
      </c>
      <c r="M94" s="5" t="str">
        <f t="shared" si="25"/>
        <v/>
      </c>
      <c r="N94" s="2" t="str">
        <f t="shared" si="31"/>
        <v/>
      </c>
      <c r="O94" s="5" t="str">
        <f t="shared" si="32"/>
        <v/>
      </c>
      <c r="P94" s="13" t="str">
        <f t="shared" si="33"/>
        <v/>
      </c>
      <c r="Q94" s="5" t="str">
        <f t="shared" si="34"/>
        <v/>
      </c>
      <c r="S94" s="2" t="str">
        <f t="shared" si="26"/>
        <v/>
      </c>
      <c r="T94" s="5" t="str">
        <f t="shared" si="27"/>
        <v/>
      </c>
      <c r="U94" s="10" t="str">
        <f t="shared" si="28"/>
        <v/>
      </c>
      <c r="V94" s="5" t="str">
        <f t="shared" si="29"/>
        <v/>
      </c>
      <c r="W94" s="2" t="str">
        <f t="shared" si="35"/>
        <v/>
      </c>
      <c r="X94" s="5" t="str">
        <f t="shared" si="36"/>
        <v/>
      </c>
      <c r="Y94" s="13" t="str">
        <f t="shared" si="37"/>
        <v/>
      </c>
      <c r="Z94" s="5" t="str">
        <f t="shared" si="38"/>
        <v/>
      </c>
    </row>
    <row r="95" spans="10:26" x14ac:dyDescent="0.2">
      <c r="J95" s="2" t="str">
        <f t="shared" si="23"/>
        <v/>
      </c>
      <c r="K95" s="5" t="str">
        <f t="shared" si="24"/>
        <v/>
      </c>
      <c r="L95" s="10" t="str">
        <f t="shared" si="30"/>
        <v/>
      </c>
      <c r="M95" s="5" t="str">
        <f t="shared" si="25"/>
        <v/>
      </c>
      <c r="N95" s="2" t="str">
        <f t="shared" si="31"/>
        <v/>
      </c>
      <c r="O95" s="5" t="str">
        <f t="shared" si="32"/>
        <v/>
      </c>
      <c r="P95" s="13" t="str">
        <f t="shared" si="33"/>
        <v/>
      </c>
      <c r="Q95" s="5" t="str">
        <f t="shared" si="34"/>
        <v/>
      </c>
      <c r="S95" s="2" t="str">
        <f t="shared" si="26"/>
        <v/>
      </c>
      <c r="T95" s="5" t="str">
        <f t="shared" si="27"/>
        <v/>
      </c>
      <c r="U95" s="10" t="str">
        <f t="shared" si="28"/>
        <v/>
      </c>
      <c r="V95" s="5" t="str">
        <f t="shared" si="29"/>
        <v/>
      </c>
      <c r="W95" s="2" t="str">
        <f t="shared" si="35"/>
        <v/>
      </c>
      <c r="X95" s="5" t="str">
        <f t="shared" si="36"/>
        <v/>
      </c>
      <c r="Y95" s="13" t="str">
        <f t="shared" si="37"/>
        <v/>
      </c>
      <c r="Z95" s="5" t="str">
        <f t="shared" si="38"/>
        <v/>
      </c>
    </row>
    <row r="96" spans="10:26" x14ac:dyDescent="0.2">
      <c r="J96" s="2" t="str">
        <f t="shared" si="23"/>
        <v/>
      </c>
      <c r="K96" s="5" t="str">
        <f t="shared" si="24"/>
        <v/>
      </c>
      <c r="L96" s="10" t="str">
        <f t="shared" si="30"/>
        <v/>
      </c>
      <c r="M96" s="5" t="str">
        <f t="shared" si="25"/>
        <v/>
      </c>
      <c r="N96" s="2" t="str">
        <f t="shared" si="31"/>
        <v/>
      </c>
      <c r="O96" s="5" t="str">
        <f t="shared" si="32"/>
        <v/>
      </c>
      <c r="P96" s="13" t="str">
        <f t="shared" si="33"/>
        <v/>
      </c>
      <c r="Q96" s="5" t="str">
        <f t="shared" si="34"/>
        <v/>
      </c>
      <c r="S96" s="2" t="str">
        <f t="shared" si="26"/>
        <v/>
      </c>
      <c r="T96" s="5" t="str">
        <f t="shared" si="27"/>
        <v/>
      </c>
      <c r="U96" s="10" t="str">
        <f t="shared" si="28"/>
        <v/>
      </c>
      <c r="V96" s="5" t="str">
        <f t="shared" si="29"/>
        <v/>
      </c>
      <c r="W96" s="2" t="str">
        <f t="shared" si="35"/>
        <v/>
      </c>
      <c r="X96" s="5" t="str">
        <f t="shared" si="36"/>
        <v/>
      </c>
      <c r="Y96" s="13" t="str">
        <f t="shared" si="37"/>
        <v/>
      </c>
      <c r="Z96" s="5" t="str">
        <f t="shared" si="38"/>
        <v/>
      </c>
    </row>
    <row r="97" spans="10:26" x14ac:dyDescent="0.2">
      <c r="J97" s="2" t="str">
        <f t="shared" si="23"/>
        <v/>
      </c>
      <c r="K97" s="5" t="str">
        <f t="shared" si="24"/>
        <v/>
      </c>
      <c r="L97" s="10" t="str">
        <f t="shared" si="30"/>
        <v/>
      </c>
      <c r="M97" s="5" t="str">
        <f t="shared" si="25"/>
        <v/>
      </c>
      <c r="N97" s="2" t="str">
        <f t="shared" si="31"/>
        <v/>
      </c>
      <c r="O97" s="5" t="str">
        <f t="shared" si="32"/>
        <v/>
      </c>
      <c r="P97" s="13" t="str">
        <f t="shared" si="33"/>
        <v/>
      </c>
      <c r="Q97" s="5" t="str">
        <f t="shared" si="34"/>
        <v/>
      </c>
      <c r="S97" s="2" t="str">
        <f t="shared" si="26"/>
        <v/>
      </c>
      <c r="T97" s="5" t="str">
        <f t="shared" si="27"/>
        <v/>
      </c>
      <c r="U97" s="10" t="str">
        <f t="shared" si="28"/>
        <v/>
      </c>
      <c r="V97" s="5" t="str">
        <f t="shared" si="29"/>
        <v/>
      </c>
      <c r="W97" s="2" t="str">
        <f t="shared" si="35"/>
        <v/>
      </c>
      <c r="X97" s="5" t="str">
        <f t="shared" si="36"/>
        <v/>
      </c>
      <c r="Y97" s="13" t="str">
        <f t="shared" si="37"/>
        <v/>
      </c>
      <c r="Z97" s="5" t="str">
        <f t="shared" si="38"/>
        <v/>
      </c>
    </row>
    <row r="98" spans="10:26" x14ac:dyDescent="0.2">
      <c r="J98" s="2" t="str">
        <f t="shared" si="23"/>
        <v/>
      </c>
      <c r="K98" s="5" t="str">
        <f t="shared" si="24"/>
        <v/>
      </c>
      <c r="L98" s="10" t="str">
        <f t="shared" si="30"/>
        <v/>
      </c>
      <c r="M98" s="5" t="str">
        <f t="shared" si="25"/>
        <v/>
      </c>
      <c r="N98" s="2" t="str">
        <f t="shared" si="31"/>
        <v/>
      </c>
      <c r="O98" s="5" t="str">
        <f t="shared" si="32"/>
        <v/>
      </c>
      <c r="P98" s="13" t="str">
        <f t="shared" si="33"/>
        <v/>
      </c>
      <c r="Q98" s="5" t="str">
        <f t="shared" si="34"/>
        <v/>
      </c>
      <c r="S98" s="2" t="str">
        <f t="shared" si="26"/>
        <v/>
      </c>
      <c r="T98" s="5" t="str">
        <f t="shared" si="27"/>
        <v/>
      </c>
      <c r="U98" s="10" t="str">
        <f t="shared" si="28"/>
        <v/>
      </c>
      <c r="V98" s="5" t="str">
        <f t="shared" si="29"/>
        <v/>
      </c>
      <c r="W98" s="2" t="str">
        <f t="shared" si="35"/>
        <v/>
      </c>
      <c r="X98" s="5" t="str">
        <f t="shared" si="36"/>
        <v/>
      </c>
      <c r="Y98" s="13" t="str">
        <f t="shared" si="37"/>
        <v/>
      </c>
      <c r="Z98" s="5" t="str">
        <f t="shared" si="38"/>
        <v/>
      </c>
    </row>
    <row r="99" spans="10:26" x14ac:dyDescent="0.2">
      <c r="J99" s="2" t="str">
        <f t="shared" si="23"/>
        <v/>
      </c>
      <c r="K99" s="5" t="str">
        <f t="shared" si="24"/>
        <v/>
      </c>
      <c r="L99" s="10" t="str">
        <f t="shared" si="30"/>
        <v/>
      </c>
      <c r="M99" s="5" t="str">
        <f t="shared" si="25"/>
        <v/>
      </c>
      <c r="N99" s="2" t="str">
        <f t="shared" si="31"/>
        <v/>
      </c>
      <c r="O99" s="5" t="str">
        <f t="shared" si="32"/>
        <v/>
      </c>
      <c r="P99" s="13" t="str">
        <f t="shared" si="33"/>
        <v/>
      </c>
      <c r="Q99" s="5" t="str">
        <f t="shared" si="34"/>
        <v/>
      </c>
      <c r="S99" s="2" t="str">
        <f t="shared" si="26"/>
        <v/>
      </c>
      <c r="T99" s="5" t="str">
        <f t="shared" si="27"/>
        <v/>
      </c>
      <c r="U99" s="10" t="str">
        <f t="shared" si="28"/>
        <v/>
      </c>
      <c r="V99" s="5" t="str">
        <f t="shared" si="29"/>
        <v/>
      </c>
      <c r="W99" s="2" t="str">
        <f t="shared" si="35"/>
        <v/>
      </c>
      <c r="X99" s="5" t="str">
        <f t="shared" si="36"/>
        <v/>
      </c>
      <c r="Y99" s="13" t="str">
        <f t="shared" si="37"/>
        <v/>
      </c>
      <c r="Z99" s="5" t="str">
        <f t="shared" si="38"/>
        <v/>
      </c>
    </row>
    <row r="100" spans="10:26" x14ac:dyDescent="0.2">
      <c r="J100" s="2" t="str">
        <f t="shared" si="23"/>
        <v/>
      </c>
      <c r="K100" s="5" t="str">
        <f t="shared" si="24"/>
        <v/>
      </c>
      <c r="L100" s="10" t="str">
        <f t="shared" si="30"/>
        <v/>
      </c>
      <c r="M100" s="5" t="str">
        <f t="shared" si="25"/>
        <v/>
      </c>
      <c r="N100" s="2" t="str">
        <f t="shared" si="31"/>
        <v/>
      </c>
      <c r="O100" s="5" t="str">
        <f t="shared" si="32"/>
        <v/>
      </c>
      <c r="P100" s="13" t="str">
        <f t="shared" si="33"/>
        <v/>
      </c>
      <c r="Q100" s="5" t="str">
        <f t="shared" si="34"/>
        <v/>
      </c>
      <c r="S100" s="2" t="str">
        <f t="shared" si="26"/>
        <v/>
      </c>
      <c r="T100" s="5" t="str">
        <f t="shared" si="27"/>
        <v/>
      </c>
      <c r="U100" s="10" t="str">
        <f t="shared" si="28"/>
        <v/>
      </c>
      <c r="V100" s="5" t="str">
        <f t="shared" si="29"/>
        <v/>
      </c>
      <c r="W100" s="2" t="str">
        <f t="shared" si="35"/>
        <v/>
      </c>
      <c r="X100" s="5" t="str">
        <f t="shared" si="36"/>
        <v/>
      </c>
      <c r="Y100" s="13" t="str">
        <f t="shared" si="37"/>
        <v/>
      </c>
      <c r="Z100" s="5" t="str">
        <f t="shared" si="38"/>
        <v/>
      </c>
    </row>
    <row r="101" spans="10:26" x14ac:dyDescent="0.2">
      <c r="J101" s="2" t="str">
        <f t="shared" si="23"/>
        <v/>
      </c>
      <c r="K101" s="5" t="str">
        <f t="shared" si="24"/>
        <v/>
      </c>
      <c r="L101" s="10" t="str">
        <f t="shared" si="30"/>
        <v/>
      </c>
      <c r="M101" s="5" t="str">
        <f t="shared" si="25"/>
        <v/>
      </c>
      <c r="N101" s="2" t="str">
        <f t="shared" si="31"/>
        <v/>
      </c>
      <c r="O101" s="5" t="str">
        <f t="shared" si="32"/>
        <v/>
      </c>
      <c r="P101" s="13" t="str">
        <f t="shared" si="33"/>
        <v/>
      </c>
      <c r="Q101" s="5" t="str">
        <f t="shared" si="34"/>
        <v/>
      </c>
      <c r="S101" s="2" t="str">
        <f t="shared" si="26"/>
        <v/>
      </c>
      <c r="T101" s="5" t="str">
        <f t="shared" si="27"/>
        <v/>
      </c>
      <c r="U101" s="10" t="str">
        <f t="shared" si="28"/>
        <v/>
      </c>
      <c r="V101" s="5" t="str">
        <f t="shared" si="29"/>
        <v/>
      </c>
      <c r="W101" s="2" t="str">
        <f t="shared" si="35"/>
        <v/>
      </c>
      <c r="X101" s="5" t="str">
        <f t="shared" si="36"/>
        <v/>
      </c>
      <c r="Y101" s="13" t="str">
        <f t="shared" si="37"/>
        <v/>
      </c>
      <c r="Z101" s="5" t="str">
        <f t="shared" si="38"/>
        <v/>
      </c>
    </row>
    <row r="102" spans="10:26" x14ac:dyDescent="0.2">
      <c r="J102" s="2" t="str">
        <f t="shared" si="23"/>
        <v/>
      </c>
      <c r="K102" s="5" t="str">
        <f t="shared" si="24"/>
        <v/>
      </c>
      <c r="L102" s="10" t="str">
        <f t="shared" si="30"/>
        <v/>
      </c>
      <c r="M102" s="5" t="str">
        <f t="shared" si="25"/>
        <v/>
      </c>
      <c r="N102" s="2" t="str">
        <f t="shared" si="31"/>
        <v/>
      </c>
      <c r="O102" s="5" t="str">
        <f t="shared" si="32"/>
        <v/>
      </c>
      <c r="P102" s="13" t="str">
        <f t="shared" si="33"/>
        <v/>
      </c>
      <c r="Q102" s="5" t="str">
        <f t="shared" si="34"/>
        <v/>
      </c>
      <c r="S102" s="2" t="str">
        <f t="shared" si="26"/>
        <v/>
      </c>
      <c r="T102" s="5" t="str">
        <f t="shared" si="27"/>
        <v/>
      </c>
      <c r="U102" s="10" t="str">
        <f t="shared" si="28"/>
        <v/>
      </c>
      <c r="V102" s="5" t="str">
        <f t="shared" si="29"/>
        <v/>
      </c>
      <c r="W102" s="2" t="str">
        <f t="shared" si="35"/>
        <v/>
      </c>
      <c r="X102" s="5" t="str">
        <f t="shared" si="36"/>
        <v/>
      </c>
      <c r="Y102" s="13" t="str">
        <f t="shared" si="37"/>
        <v/>
      </c>
      <c r="Z102" s="5" t="str">
        <f t="shared" si="38"/>
        <v/>
      </c>
    </row>
    <row r="103" spans="10:26" x14ac:dyDescent="0.2">
      <c r="J103" s="2" t="str">
        <f t="shared" si="23"/>
        <v/>
      </c>
      <c r="K103" s="5" t="str">
        <f t="shared" si="24"/>
        <v/>
      </c>
      <c r="L103" s="10" t="str">
        <f t="shared" si="30"/>
        <v/>
      </c>
      <c r="M103" s="5" t="str">
        <f t="shared" si="25"/>
        <v/>
      </c>
      <c r="N103" s="2" t="str">
        <f t="shared" si="31"/>
        <v/>
      </c>
      <c r="O103" s="5" t="str">
        <f t="shared" si="32"/>
        <v/>
      </c>
      <c r="P103" s="13" t="str">
        <f t="shared" si="33"/>
        <v/>
      </c>
      <c r="Q103" s="5" t="str">
        <f t="shared" si="34"/>
        <v/>
      </c>
      <c r="S103" s="2" t="str">
        <f t="shared" si="26"/>
        <v/>
      </c>
      <c r="T103" s="5" t="str">
        <f t="shared" si="27"/>
        <v/>
      </c>
      <c r="U103" s="10" t="str">
        <f t="shared" si="28"/>
        <v/>
      </c>
      <c r="V103" s="5" t="str">
        <f t="shared" si="29"/>
        <v/>
      </c>
      <c r="W103" s="2" t="str">
        <f t="shared" si="35"/>
        <v/>
      </c>
      <c r="X103" s="5" t="str">
        <f t="shared" si="36"/>
        <v/>
      </c>
      <c r="Y103" s="13" t="str">
        <f t="shared" si="37"/>
        <v/>
      </c>
      <c r="Z103" s="5" t="str">
        <f t="shared" si="38"/>
        <v/>
      </c>
    </row>
  </sheetData>
  <mergeCells count="6">
    <mergeCell ref="B19:C19"/>
    <mergeCell ref="B2:C2"/>
    <mergeCell ref="E2:F2"/>
    <mergeCell ref="E5:F5"/>
    <mergeCell ref="B12:C12"/>
    <mergeCell ref="B14:C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8633A-8390-D944-9839-4411527959D6}">
  <dimension ref="B3:D12"/>
  <sheetViews>
    <sheetView zoomScale="176" workbookViewId="0">
      <selection activeCell="B4" sqref="B4:B8"/>
    </sheetView>
  </sheetViews>
  <sheetFormatPr baseColWidth="10" defaultRowHeight="16" x14ac:dyDescent="0.2"/>
  <cols>
    <col min="2" max="2" width="16.6640625" bestFit="1" customWidth="1"/>
    <col min="3" max="3" width="13.5" customWidth="1"/>
    <col min="4" max="4" width="28.83203125" customWidth="1"/>
  </cols>
  <sheetData>
    <row r="3" spans="2:4" ht="17" thickBot="1" x14ac:dyDescent="0.25"/>
    <row r="4" spans="2:4" x14ac:dyDescent="0.2">
      <c r="B4" s="94" t="s">
        <v>0</v>
      </c>
      <c r="C4" s="94" t="s">
        <v>1</v>
      </c>
      <c r="D4" s="94" t="s">
        <v>2</v>
      </c>
    </row>
    <row r="5" spans="2:4" x14ac:dyDescent="0.2">
      <c r="B5" s="99" t="s">
        <v>3</v>
      </c>
      <c r="C5" s="100">
        <v>100000</v>
      </c>
      <c r="D5" s="97" t="s">
        <v>4</v>
      </c>
    </row>
    <row r="6" spans="2:4" x14ac:dyDescent="0.2">
      <c r="B6" s="101" t="s">
        <v>5</v>
      </c>
      <c r="C6" s="102">
        <v>300000</v>
      </c>
      <c r="D6" s="95" t="s">
        <v>4</v>
      </c>
    </row>
    <row r="7" spans="2:4" x14ac:dyDescent="0.2">
      <c r="B7" s="103" t="s">
        <v>6</v>
      </c>
      <c r="C7" s="104">
        <v>0.04</v>
      </c>
      <c r="D7" s="96" t="s">
        <v>7</v>
      </c>
    </row>
    <row r="8" spans="2:4" x14ac:dyDescent="0.2">
      <c r="B8" s="105" t="s">
        <v>8</v>
      </c>
      <c r="C8" s="106">
        <v>12</v>
      </c>
      <c r="D8" s="98" t="s">
        <v>9</v>
      </c>
    </row>
    <row r="9" spans="2:4" x14ac:dyDescent="0.2">
      <c r="B9" s="107"/>
      <c r="C9" s="107"/>
    </row>
    <row r="10" spans="2:4" x14ac:dyDescent="0.2">
      <c r="B10" s="120" t="s">
        <v>10</v>
      </c>
      <c r="C10" s="121"/>
    </row>
    <row r="11" spans="2:4" x14ac:dyDescent="0.2">
      <c r="B11" s="110" t="s">
        <v>86</v>
      </c>
      <c r="C11" s="111">
        <f>LN(C6/C5)/LN(1+C7)</f>
        <v>28.011022756637367</v>
      </c>
    </row>
    <row r="12" spans="2:4" x14ac:dyDescent="0.2">
      <c r="B12" s="109" t="s">
        <v>11</v>
      </c>
      <c r="C12" s="108">
        <f>C11/C8</f>
        <v>2.3342518963864474</v>
      </c>
    </row>
  </sheetData>
  <mergeCells count="1">
    <mergeCell ref="B10:C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8409F-4002-4F42-95A0-2577626EE2E3}">
  <dimension ref="B1:AF5330"/>
  <sheetViews>
    <sheetView tabSelected="1" zoomScale="125" workbookViewId="0">
      <selection activeCell="H11" sqref="H11:I16"/>
    </sheetView>
  </sheetViews>
  <sheetFormatPr baseColWidth="10" defaultRowHeight="16" x14ac:dyDescent="0.2"/>
  <cols>
    <col min="3" max="3" width="20.1640625" customWidth="1"/>
    <col min="6" max="6" width="14.1640625" customWidth="1"/>
    <col min="7" max="7" width="3.5" customWidth="1"/>
    <col min="8" max="8" width="16.33203125" customWidth="1"/>
  </cols>
  <sheetData>
    <row r="1" spans="2:32" ht="17" thickBot="1" x14ac:dyDescent="0.25">
      <c r="B1" s="170" t="s">
        <v>108</v>
      </c>
      <c r="C1" s="171"/>
      <c r="D1" s="171"/>
      <c r="E1" s="171"/>
      <c r="F1" s="172"/>
      <c r="H1" s="169" t="s">
        <v>87</v>
      </c>
      <c r="I1" s="94" t="s">
        <v>88</v>
      </c>
      <c r="L1" s="169" t="s">
        <v>110</v>
      </c>
      <c r="M1" s="94" t="s">
        <v>112</v>
      </c>
      <c r="N1" s="169" t="s">
        <v>113</v>
      </c>
      <c r="O1" s="94" t="s">
        <v>114</v>
      </c>
      <c r="P1" s="169" t="s">
        <v>115</v>
      </c>
      <c r="Q1" s="169" t="s">
        <v>116</v>
      </c>
      <c r="R1" s="169" t="s">
        <v>117</v>
      </c>
      <c r="S1" s="169" t="s">
        <v>118</v>
      </c>
      <c r="T1" s="169" t="s">
        <v>119</v>
      </c>
      <c r="U1" s="169" t="s">
        <v>120</v>
      </c>
      <c r="V1" s="169" t="s">
        <v>121</v>
      </c>
      <c r="W1" s="169" t="s">
        <v>122</v>
      </c>
      <c r="X1" s="169" t="s">
        <v>123</v>
      </c>
      <c r="Y1" s="169" t="s">
        <v>124</v>
      </c>
      <c r="Z1" s="169" t="s">
        <v>125</v>
      </c>
      <c r="AA1" s="169" t="s">
        <v>126</v>
      </c>
      <c r="AB1" s="169" t="s">
        <v>127</v>
      </c>
      <c r="AC1" s="169" t="s">
        <v>128</v>
      </c>
      <c r="AD1" s="169" t="s">
        <v>129</v>
      </c>
      <c r="AE1" s="169" t="s">
        <v>130</v>
      </c>
      <c r="AF1" s="169" t="s">
        <v>131</v>
      </c>
    </row>
    <row r="2" spans="2:32" x14ac:dyDescent="0.2">
      <c r="B2" s="169" t="s">
        <v>111</v>
      </c>
      <c r="C2" s="169" t="s">
        <v>105</v>
      </c>
      <c r="D2" s="94" t="s">
        <v>106</v>
      </c>
      <c r="E2" s="94" t="s">
        <v>107</v>
      </c>
      <c r="F2" s="94" t="s">
        <v>104</v>
      </c>
      <c r="H2" s="173" t="s">
        <v>96</v>
      </c>
      <c r="I2" s="173" t="s">
        <v>94</v>
      </c>
      <c r="L2" s="186">
        <f>$I$14</f>
        <v>0</v>
      </c>
    </row>
    <row r="3" spans="2:32" x14ac:dyDescent="0.2">
      <c r="B3" s="173">
        <v>1</v>
      </c>
      <c r="C3" s="173">
        <v>12</v>
      </c>
      <c r="D3" s="181">
        <v>1</v>
      </c>
      <c r="E3" s="173">
        <v>0</v>
      </c>
      <c r="F3" s="173" t="s">
        <v>109</v>
      </c>
      <c r="H3" s="174" t="s">
        <v>89</v>
      </c>
      <c r="I3" s="174" t="s">
        <v>97</v>
      </c>
      <c r="L3">
        <f>IF(L2&lt;$I$15,L2+$I$16,"")</f>
        <v>1</v>
      </c>
    </row>
    <row r="4" spans="2:32" x14ac:dyDescent="0.2">
      <c r="B4" s="177">
        <f>IF(ISNUMBER(C4),B3+1,"")</f>
        <v>2</v>
      </c>
      <c r="C4" s="177">
        <v>15</v>
      </c>
      <c r="D4" s="182">
        <v>1</v>
      </c>
      <c r="E4" s="177">
        <v>0</v>
      </c>
      <c r="F4" s="177" t="s">
        <v>101</v>
      </c>
      <c r="H4" s="175" t="s">
        <v>99</v>
      </c>
      <c r="I4" s="175" t="s">
        <v>98</v>
      </c>
      <c r="L4">
        <f t="shared" ref="L4:L67" si="0">IF(L3&lt;$I$15,L3+$I$16,"")</f>
        <v>2</v>
      </c>
    </row>
    <row r="5" spans="2:32" x14ac:dyDescent="0.2">
      <c r="B5" s="174">
        <f>IF(ISNUMBER(C5),B4+1,"")</f>
        <v>3</v>
      </c>
      <c r="C5" s="174">
        <v>20</v>
      </c>
      <c r="D5" s="183">
        <v>0.3</v>
      </c>
      <c r="E5" s="174">
        <v>0</v>
      </c>
      <c r="F5" s="174" t="s">
        <v>94</v>
      </c>
      <c r="H5" s="176" t="s">
        <v>90</v>
      </c>
      <c r="I5" s="176" t="s">
        <v>95</v>
      </c>
      <c r="L5">
        <f t="shared" si="0"/>
        <v>3</v>
      </c>
    </row>
    <row r="6" spans="2:32" x14ac:dyDescent="0.2">
      <c r="B6" s="177" t="str">
        <f t="shared" ref="B6:B16" si="1">IF(ISNUMBER(C6),B5+1,"")</f>
        <v/>
      </c>
      <c r="C6" s="177"/>
      <c r="D6" s="182"/>
      <c r="E6" s="177"/>
      <c r="F6" s="177"/>
      <c r="H6" s="174" t="s">
        <v>100</v>
      </c>
      <c r="I6" s="174" t="s">
        <v>109</v>
      </c>
      <c r="J6" s="186"/>
      <c r="L6">
        <f t="shared" si="0"/>
        <v>4</v>
      </c>
    </row>
    <row r="7" spans="2:32" x14ac:dyDescent="0.2">
      <c r="B7" s="174" t="str">
        <f t="shared" si="1"/>
        <v/>
      </c>
      <c r="C7" s="174"/>
      <c r="D7" s="183"/>
      <c r="E7" s="174"/>
      <c r="F7" s="174"/>
      <c r="H7" s="174" t="s">
        <v>91</v>
      </c>
      <c r="I7" s="174" t="s">
        <v>101</v>
      </c>
      <c r="J7" s="186"/>
      <c r="L7">
        <f t="shared" si="0"/>
        <v>5</v>
      </c>
    </row>
    <row r="8" spans="2:32" x14ac:dyDescent="0.2">
      <c r="B8" s="177" t="str">
        <f t="shared" si="1"/>
        <v/>
      </c>
      <c r="C8" s="177"/>
      <c r="D8" s="182"/>
      <c r="E8" s="177"/>
      <c r="F8" s="177"/>
      <c r="H8" s="175" t="s">
        <v>92</v>
      </c>
      <c r="I8" s="175" t="s">
        <v>102</v>
      </c>
      <c r="L8">
        <f t="shared" si="0"/>
        <v>6</v>
      </c>
    </row>
    <row r="9" spans="2:32" x14ac:dyDescent="0.2">
      <c r="B9" s="174" t="str">
        <f t="shared" si="1"/>
        <v/>
      </c>
      <c r="C9" s="174"/>
      <c r="D9" s="183"/>
      <c r="E9" s="174"/>
      <c r="F9" s="174"/>
      <c r="H9" s="176" t="s">
        <v>93</v>
      </c>
      <c r="I9" s="176" t="s">
        <v>103</v>
      </c>
      <c r="L9">
        <f t="shared" si="0"/>
        <v>7</v>
      </c>
    </row>
    <row r="10" spans="2:32" x14ac:dyDescent="0.2">
      <c r="B10" s="177" t="str">
        <f t="shared" si="1"/>
        <v/>
      </c>
      <c r="C10" s="177"/>
      <c r="D10" s="182"/>
      <c r="E10" s="177"/>
      <c r="F10" s="177"/>
      <c r="L10">
        <f t="shared" si="0"/>
        <v>8</v>
      </c>
    </row>
    <row r="11" spans="2:32" x14ac:dyDescent="0.2">
      <c r="B11" s="174" t="str">
        <f t="shared" si="1"/>
        <v/>
      </c>
      <c r="C11" s="174"/>
      <c r="D11" s="183"/>
      <c r="E11" s="174"/>
      <c r="F11" s="174"/>
      <c r="H11" s="185" t="s">
        <v>132</v>
      </c>
      <c r="I11" s="185"/>
      <c r="L11">
        <f t="shared" si="0"/>
        <v>9</v>
      </c>
    </row>
    <row r="12" spans="2:32" x14ac:dyDescent="0.2">
      <c r="B12" s="177" t="str">
        <f t="shared" si="1"/>
        <v/>
      </c>
      <c r="C12" s="177"/>
      <c r="D12" s="182"/>
      <c r="E12" s="177"/>
      <c r="F12" s="177"/>
      <c r="H12" s="99" t="s">
        <v>133</v>
      </c>
      <c r="I12" s="178">
        <v>0</v>
      </c>
      <c r="L12">
        <f t="shared" si="0"/>
        <v>10</v>
      </c>
    </row>
    <row r="13" spans="2:32" x14ac:dyDescent="0.2">
      <c r="B13" s="174" t="str">
        <f t="shared" si="1"/>
        <v/>
      </c>
      <c r="C13" s="174"/>
      <c r="D13" s="183"/>
      <c r="E13" s="174"/>
      <c r="F13" s="174"/>
      <c r="H13" s="101" t="s">
        <v>134</v>
      </c>
      <c r="I13" s="179">
        <v>25</v>
      </c>
      <c r="L13">
        <f t="shared" si="0"/>
        <v>11</v>
      </c>
    </row>
    <row r="14" spans="2:32" x14ac:dyDescent="0.2">
      <c r="B14" s="177" t="str">
        <f t="shared" si="1"/>
        <v/>
      </c>
      <c r="C14" s="177"/>
      <c r="D14" s="182"/>
      <c r="E14" s="177"/>
      <c r="F14" s="177"/>
      <c r="H14" s="103" t="s">
        <v>135</v>
      </c>
      <c r="I14" s="180">
        <v>0</v>
      </c>
      <c r="L14">
        <f t="shared" si="0"/>
        <v>12</v>
      </c>
    </row>
    <row r="15" spans="2:32" x14ac:dyDescent="0.2">
      <c r="B15" s="174" t="str">
        <f t="shared" si="1"/>
        <v/>
      </c>
      <c r="C15" s="174"/>
      <c r="D15" s="183"/>
      <c r="E15" s="174"/>
      <c r="F15" s="174"/>
      <c r="H15" s="101" t="s">
        <v>136</v>
      </c>
      <c r="I15" s="179">
        <v>25</v>
      </c>
      <c r="L15">
        <f t="shared" si="0"/>
        <v>13</v>
      </c>
    </row>
    <row r="16" spans="2:32" x14ac:dyDescent="0.2">
      <c r="B16" s="176" t="str">
        <f t="shared" si="1"/>
        <v/>
      </c>
      <c r="C16" s="176"/>
      <c r="D16" s="184"/>
      <c r="E16" s="176"/>
      <c r="F16" s="176"/>
      <c r="H16" s="103" t="s">
        <v>137</v>
      </c>
      <c r="I16" s="180">
        <v>1</v>
      </c>
      <c r="L16">
        <f t="shared" si="0"/>
        <v>14</v>
      </c>
    </row>
    <row r="17" spans="12:12" x14ac:dyDescent="0.2">
      <c r="L17">
        <f t="shared" si="0"/>
        <v>15</v>
      </c>
    </row>
    <row r="18" spans="12:12" x14ac:dyDescent="0.2">
      <c r="L18">
        <f t="shared" si="0"/>
        <v>16</v>
      </c>
    </row>
    <row r="19" spans="12:12" x14ac:dyDescent="0.2">
      <c r="L19">
        <f t="shared" si="0"/>
        <v>17</v>
      </c>
    </row>
    <row r="20" spans="12:12" x14ac:dyDescent="0.2">
      <c r="L20">
        <f t="shared" si="0"/>
        <v>18</v>
      </c>
    </row>
    <row r="21" spans="12:12" x14ac:dyDescent="0.2">
      <c r="L21">
        <f t="shared" si="0"/>
        <v>19</v>
      </c>
    </row>
    <row r="22" spans="12:12" x14ac:dyDescent="0.2">
      <c r="L22">
        <f t="shared" si="0"/>
        <v>20</v>
      </c>
    </row>
    <row r="23" spans="12:12" x14ac:dyDescent="0.2">
      <c r="L23">
        <f t="shared" si="0"/>
        <v>21</v>
      </c>
    </row>
    <row r="24" spans="12:12" x14ac:dyDescent="0.2">
      <c r="L24">
        <f t="shared" si="0"/>
        <v>22</v>
      </c>
    </row>
    <row r="25" spans="12:12" x14ac:dyDescent="0.2">
      <c r="L25">
        <f t="shared" si="0"/>
        <v>23</v>
      </c>
    </row>
    <row r="26" spans="12:12" x14ac:dyDescent="0.2">
      <c r="L26">
        <f t="shared" si="0"/>
        <v>24</v>
      </c>
    </row>
    <row r="27" spans="12:12" x14ac:dyDescent="0.2">
      <c r="L27">
        <f t="shared" si="0"/>
        <v>25</v>
      </c>
    </row>
    <row r="28" spans="12:12" x14ac:dyDescent="0.2">
      <c r="L28" t="str">
        <f t="shared" si="0"/>
        <v/>
      </c>
    </row>
    <row r="29" spans="12:12" x14ac:dyDescent="0.2">
      <c r="L29" t="str">
        <f t="shared" si="0"/>
        <v/>
      </c>
    </row>
    <row r="30" spans="12:12" x14ac:dyDescent="0.2">
      <c r="L30" t="str">
        <f t="shared" si="0"/>
        <v/>
      </c>
    </row>
    <row r="31" spans="12:12" x14ac:dyDescent="0.2">
      <c r="L31" t="str">
        <f t="shared" si="0"/>
        <v/>
      </c>
    </row>
    <row r="32" spans="12:12" x14ac:dyDescent="0.2">
      <c r="L32" t="str">
        <f t="shared" si="0"/>
        <v/>
      </c>
    </row>
    <row r="33" spans="12:12" x14ac:dyDescent="0.2">
      <c r="L33" t="str">
        <f t="shared" si="0"/>
        <v/>
      </c>
    </row>
    <row r="34" spans="12:12" x14ac:dyDescent="0.2">
      <c r="L34" t="str">
        <f t="shared" si="0"/>
        <v/>
      </c>
    </row>
    <row r="35" spans="12:12" x14ac:dyDescent="0.2">
      <c r="L35" t="str">
        <f t="shared" si="0"/>
        <v/>
      </c>
    </row>
    <row r="36" spans="12:12" x14ac:dyDescent="0.2">
      <c r="L36" t="str">
        <f t="shared" si="0"/>
        <v/>
      </c>
    </row>
    <row r="37" spans="12:12" x14ac:dyDescent="0.2">
      <c r="L37" t="str">
        <f t="shared" si="0"/>
        <v/>
      </c>
    </row>
    <row r="38" spans="12:12" x14ac:dyDescent="0.2">
      <c r="L38" t="str">
        <f t="shared" si="0"/>
        <v/>
      </c>
    </row>
    <row r="39" spans="12:12" x14ac:dyDescent="0.2">
      <c r="L39" t="str">
        <f t="shared" si="0"/>
        <v/>
      </c>
    </row>
    <row r="40" spans="12:12" x14ac:dyDescent="0.2">
      <c r="L40" t="str">
        <f t="shared" si="0"/>
        <v/>
      </c>
    </row>
    <row r="41" spans="12:12" x14ac:dyDescent="0.2">
      <c r="L41" t="str">
        <f t="shared" si="0"/>
        <v/>
      </c>
    </row>
    <row r="42" spans="12:12" x14ac:dyDescent="0.2">
      <c r="L42" t="str">
        <f t="shared" si="0"/>
        <v/>
      </c>
    </row>
    <row r="43" spans="12:12" x14ac:dyDescent="0.2">
      <c r="L43" t="str">
        <f t="shared" si="0"/>
        <v/>
      </c>
    </row>
    <row r="44" spans="12:12" x14ac:dyDescent="0.2">
      <c r="L44" t="str">
        <f t="shared" si="0"/>
        <v/>
      </c>
    </row>
    <row r="45" spans="12:12" x14ac:dyDescent="0.2">
      <c r="L45" t="str">
        <f t="shared" si="0"/>
        <v/>
      </c>
    </row>
    <row r="46" spans="12:12" x14ac:dyDescent="0.2">
      <c r="L46" t="str">
        <f t="shared" si="0"/>
        <v/>
      </c>
    </row>
    <row r="47" spans="12:12" x14ac:dyDescent="0.2">
      <c r="L47" t="str">
        <f t="shared" si="0"/>
        <v/>
      </c>
    </row>
    <row r="48" spans="12:12" x14ac:dyDescent="0.2">
      <c r="L48" t="str">
        <f t="shared" si="0"/>
        <v/>
      </c>
    </row>
    <row r="49" spans="12:12" x14ac:dyDescent="0.2">
      <c r="L49" t="str">
        <f t="shared" si="0"/>
        <v/>
      </c>
    </row>
    <row r="50" spans="12:12" x14ac:dyDescent="0.2">
      <c r="L50" t="str">
        <f t="shared" si="0"/>
        <v/>
      </c>
    </row>
    <row r="51" spans="12:12" x14ac:dyDescent="0.2">
      <c r="L51" t="str">
        <f t="shared" si="0"/>
        <v/>
      </c>
    </row>
    <row r="52" spans="12:12" x14ac:dyDescent="0.2">
      <c r="L52" t="str">
        <f t="shared" si="0"/>
        <v/>
      </c>
    </row>
    <row r="53" spans="12:12" x14ac:dyDescent="0.2">
      <c r="L53" t="str">
        <f t="shared" si="0"/>
        <v/>
      </c>
    </row>
    <row r="54" spans="12:12" x14ac:dyDescent="0.2">
      <c r="L54" t="str">
        <f t="shared" si="0"/>
        <v/>
      </c>
    </row>
    <row r="55" spans="12:12" x14ac:dyDescent="0.2">
      <c r="L55" t="str">
        <f t="shared" si="0"/>
        <v/>
      </c>
    </row>
    <row r="56" spans="12:12" x14ac:dyDescent="0.2">
      <c r="L56" t="str">
        <f t="shared" si="0"/>
        <v/>
      </c>
    </row>
    <row r="57" spans="12:12" x14ac:dyDescent="0.2">
      <c r="L57" t="str">
        <f t="shared" si="0"/>
        <v/>
      </c>
    </row>
    <row r="58" spans="12:12" x14ac:dyDescent="0.2">
      <c r="L58" t="str">
        <f t="shared" si="0"/>
        <v/>
      </c>
    </row>
    <row r="59" spans="12:12" x14ac:dyDescent="0.2">
      <c r="L59" t="str">
        <f t="shared" si="0"/>
        <v/>
      </c>
    </row>
    <row r="60" spans="12:12" x14ac:dyDescent="0.2">
      <c r="L60" t="str">
        <f t="shared" si="0"/>
        <v/>
      </c>
    </row>
    <row r="61" spans="12:12" x14ac:dyDescent="0.2">
      <c r="L61" t="str">
        <f t="shared" si="0"/>
        <v/>
      </c>
    </row>
    <row r="62" spans="12:12" x14ac:dyDescent="0.2">
      <c r="L62" t="str">
        <f t="shared" si="0"/>
        <v/>
      </c>
    </row>
    <row r="63" spans="12:12" x14ac:dyDescent="0.2">
      <c r="L63" t="str">
        <f t="shared" si="0"/>
        <v/>
      </c>
    </row>
    <row r="64" spans="12:12" x14ac:dyDescent="0.2">
      <c r="L64" t="str">
        <f t="shared" si="0"/>
        <v/>
      </c>
    </row>
    <row r="65" spans="12:12" x14ac:dyDescent="0.2">
      <c r="L65" t="str">
        <f t="shared" si="0"/>
        <v/>
      </c>
    </row>
    <row r="66" spans="12:12" x14ac:dyDescent="0.2">
      <c r="L66" t="str">
        <f t="shared" si="0"/>
        <v/>
      </c>
    </row>
    <row r="67" spans="12:12" x14ac:dyDescent="0.2">
      <c r="L67" t="str">
        <f t="shared" si="0"/>
        <v/>
      </c>
    </row>
    <row r="68" spans="12:12" x14ac:dyDescent="0.2">
      <c r="L68" t="str">
        <f t="shared" ref="L68:L131" si="2">IF(L67&lt;$I$15,L67+$I$16,"")</f>
        <v/>
      </c>
    </row>
    <row r="69" spans="12:12" x14ac:dyDescent="0.2">
      <c r="L69" t="str">
        <f t="shared" si="2"/>
        <v/>
      </c>
    </row>
    <row r="70" spans="12:12" x14ac:dyDescent="0.2">
      <c r="L70" t="str">
        <f t="shared" si="2"/>
        <v/>
      </c>
    </row>
    <row r="71" spans="12:12" x14ac:dyDescent="0.2">
      <c r="L71" t="str">
        <f t="shared" si="2"/>
        <v/>
      </c>
    </row>
    <row r="72" spans="12:12" x14ac:dyDescent="0.2">
      <c r="L72" t="str">
        <f t="shared" si="2"/>
        <v/>
      </c>
    </row>
    <row r="73" spans="12:12" x14ac:dyDescent="0.2">
      <c r="L73" t="str">
        <f t="shared" si="2"/>
        <v/>
      </c>
    </row>
    <row r="74" spans="12:12" x14ac:dyDescent="0.2">
      <c r="L74" t="str">
        <f t="shared" si="2"/>
        <v/>
      </c>
    </row>
    <row r="75" spans="12:12" x14ac:dyDescent="0.2">
      <c r="L75" t="str">
        <f t="shared" si="2"/>
        <v/>
      </c>
    </row>
    <row r="76" spans="12:12" x14ac:dyDescent="0.2">
      <c r="L76" t="str">
        <f t="shared" si="2"/>
        <v/>
      </c>
    </row>
    <row r="77" spans="12:12" x14ac:dyDescent="0.2">
      <c r="L77" t="str">
        <f t="shared" si="2"/>
        <v/>
      </c>
    </row>
    <row r="78" spans="12:12" x14ac:dyDescent="0.2">
      <c r="L78" t="str">
        <f t="shared" si="2"/>
        <v/>
      </c>
    </row>
    <row r="79" spans="12:12" x14ac:dyDescent="0.2">
      <c r="L79" t="str">
        <f t="shared" si="2"/>
        <v/>
      </c>
    </row>
    <row r="80" spans="12:12" x14ac:dyDescent="0.2">
      <c r="L80" t="str">
        <f t="shared" si="2"/>
        <v/>
      </c>
    </row>
    <row r="81" spans="12:12" x14ac:dyDescent="0.2">
      <c r="L81" t="str">
        <f t="shared" si="2"/>
        <v/>
      </c>
    </row>
    <row r="82" spans="12:12" x14ac:dyDescent="0.2">
      <c r="L82" t="str">
        <f t="shared" si="2"/>
        <v/>
      </c>
    </row>
    <row r="83" spans="12:12" x14ac:dyDescent="0.2">
      <c r="L83" t="str">
        <f t="shared" si="2"/>
        <v/>
      </c>
    </row>
    <row r="84" spans="12:12" x14ac:dyDescent="0.2">
      <c r="L84" t="str">
        <f t="shared" si="2"/>
        <v/>
      </c>
    </row>
    <row r="85" spans="12:12" x14ac:dyDescent="0.2">
      <c r="L85" t="str">
        <f t="shared" si="2"/>
        <v/>
      </c>
    </row>
    <row r="86" spans="12:12" x14ac:dyDescent="0.2">
      <c r="L86" t="str">
        <f t="shared" si="2"/>
        <v/>
      </c>
    </row>
    <row r="87" spans="12:12" x14ac:dyDescent="0.2">
      <c r="L87" t="str">
        <f t="shared" si="2"/>
        <v/>
      </c>
    </row>
    <row r="88" spans="12:12" x14ac:dyDescent="0.2">
      <c r="L88" t="str">
        <f t="shared" si="2"/>
        <v/>
      </c>
    </row>
    <row r="89" spans="12:12" x14ac:dyDescent="0.2">
      <c r="L89" t="str">
        <f t="shared" si="2"/>
        <v/>
      </c>
    </row>
    <row r="90" spans="12:12" x14ac:dyDescent="0.2">
      <c r="L90" t="str">
        <f t="shared" si="2"/>
        <v/>
      </c>
    </row>
    <row r="91" spans="12:12" x14ac:dyDescent="0.2">
      <c r="L91" t="str">
        <f t="shared" si="2"/>
        <v/>
      </c>
    </row>
    <row r="92" spans="12:12" x14ac:dyDescent="0.2">
      <c r="L92" t="str">
        <f t="shared" si="2"/>
        <v/>
      </c>
    </row>
    <row r="93" spans="12:12" x14ac:dyDescent="0.2">
      <c r="L93" t="str">
        <f t="shared" si="2"/>
        <v/>
      </c>
    </row>
    <row r="94" spans="12:12" x14ac:dyDescent="0.2">
      <c r="L94" t="str">
        <f t="shared" si="2"/>
        <v/>
      </c>
    </row>
    <row r="95" spans="12:12" x14ac:dyDescent="0.2">
      <c r="L95" t="str">
        <f t="shared" si="2"/>
        <v/>
      </c>
    </row>
    <row r="96" spans="12:12" x14ac:dyDescent="0.2">
      <c r="L96" t="str">
        <f t="shared" si="2"/>
        <v/>
      </c>
    </row>
    <row r="97" spans="12:12" x14ac:dyDescent="0.2">
      <c r="L97" t="str">
        <f t="shared" si="2"/>
        <v/>
      </c>
    </row>
    <row r="98" spans="12:12" x14ac:dyDescent="0.2">
      <c r="L98" t="str">
        <f t="shared" si="2"/>
        <v/>
      </c>
    </row>
    <row r="99" spans="12:12" x14ac:dyDescent="0.2">
      <c r="L99" t="str">
        <f t="shared" si="2"/>
        <v/>
      </c>
    </row>
    <row r="100" spans="12:12" x14ac:dyDescent="0.2">
      <c r="L100" t="str">
        <f t="shared" si="2"/>
        <v/>
      </c>
    </row>
    <row r="101" spans="12:12" x14ac:dyDescent="0.2">
      <c r="L101" t="str">
        <f t="shared" si="2"/>
        <v/>
      </c>
    </row>
    <row r="102" spans="12:12" x14ac:dyDescent="0.2">
      <c r="L102" t="str">
        <f t="shared" si="2"/>
        <v/>
      </c>
    </row>
    <row r="103" spans="12:12" x14ac:dyDescent="0.2">
      <c r="L103" t="str">
        <f t="shared" si="2"/>
        <v/>
      </c>
    </row>
    <row r="104" spans="12:12" x14ac:dyDescent="0.2">
      <c r="L104" t="str">
        <f t="shared" si="2"/>
        <v/>
      </c>
    </row>
    <row r="105" spans="12:12" x14ac:dyDescent="0.2">
      <c r="L105" t="str">
        <f t="shared" si="2"/>
        <v/>
      </c>
    </row>
    <row r="106" spans="12:12" x14ac:dyDescent="0.2">
      <c r="L106" t="str">
        <f t="shared" si="2"/>
        <v/>
      </c>
    </row>
    <row r="107" spans="12:12" x14ac:dyDescent="0.2">
      <c r="L107" t="str">
        <f t="shared" si="2"/>
        <v/>
      </c>
    </row>
    <row r="108" spans="12:12" x14ac:dyDescent="0.2">
      <c r="L108" t="str">
        <f t="shared" si="2"/>
        <v/>
      </c>
    </row>
    <row r="109" spans="12:12" x14ac:dyDescent="0.2">
      <c r="L109" t="str">
        <f t="shared" si="2"/>
        <v/>
      </c>
    </row>
    <row r="110" spans="12:12" x14ac:dyDescent="0.2">
      <c r="L110" t="str">
        <f t="shared" si="2"/>
        <v/>
      </c>
    </row>
    <row r="111" spans="12:12" x14ac:dyDescent="0.2">
      <c r="L111" t="str">
        <f t="shared" si="2"/>
        <v/>
      </c>
    </row>
    <row r="112" spans="12:12" x14ac:dyDescent="0.2">
      <c r="L112" t="str">
        <f t="shared" si="2"/>
        <v/>
      </c>
    </row>
    <row r="113" spans="12:12" x14ac:dyDescent="0.2">
      <c r="L113" t="str">
        <f t="shared" si="2"/>
        <v/>
      </c>
    </row>
    <row r="114" spans="12:12" x14ac:dyDescent="0.2">
      <c r="L114" t="str">
        <f t="shared" si="2"/>
        <v/>
      </c>
    </row>
    <row r="115" spans="12:12" x14ac:dyDescent="0.2">
      <c r="L115" t="str">
        <f t="shared" si="2"/>
        <v/>
      </c>
    </row>
    <row r="116" spans="12:12" x14ac:dyDescent="0.2">
      <c r="L116" t="str">
        <f t="shared" si="2"/>
        <v/>
      </c>
    </row>
    <row r="117" spans="12:12" x14ac:dyDescent="0.2">
      <c r="L117" t="str">
        <f t="shared" si="2"/>
        <v/>
      </c>
    </row>
    <row r="118" spans="12:12" x14ac:dyDescent="0.2">
      <c r="L118" t="str">
        <f t="shared" si="2"/>
        <v/>
      </c>
    </row>
    <row r="119" spans="12:12" x14ac:dyDescent="0.2">
      <c r="L119" t="str">
        <f t="shared" si="2"/>
        <v/>
      </c>
    </row>
    <row r="120" spans="12:12" x14ac:dyDescent="0.2">
      <c r="L120" t="str">
        <f t="shared" si="2"/>
        <v/>
      </c>
    </row>
    <row r="121" spans="12:12" x14ac:dyDescent="0.2">
      <c r="L121" t="str">
        <f t="shared" si="2"/>
        <v/>
      </c>
    </row>
    <row r="122" spans="12:12" x14ac:dyDescent="0.2">
      <c r="L122" t="str">
        <f t="shared" si="2"/>
        <v/>
      </c>
    </row>
    <row r="123" spans="12:12" x14ac:dyDescent="0.2">
      <c r="L123" t="str">
        <f t="shared" si="2"/>
        <v/>
      </c>
    </row>
    <row r="124" spans="12:12" x14ac:dyDescent="0.2">
      <c r="L124" t="str">
        <f t="shared" si="2"/>
        <v/>
      </c>
    </row>
    <row r="125" spans="12:12" x14ac:dyDescent="0.2">
      <c r="L125" t="str">
        <f t="shared" si="2"/>
        <v/>
      </c>
    </row>
    <row r="126" spans="12:12" x14ac:dyDescent="0.2">
      <c r="L126" t="str">
        <f t="shared" si="2"/>
        <v/>
      </c>
    </row>
    <row r="127" spans="12:12" x14ac:dyDescent="0.2">
      <c r="L127" t="str">
        <f t="shared" si="2"/>
        <v/>
      </c>
    </row>
    <row r="128" spans="12:12" x14ac:dyDescent="0.2">
      <c r="L128" t="str">
        <f t="shared" si="2"/>
        <v/>
      </c>
    </row>
    <row r="129" spans="12:12" x14ac:dyDescent="0.2">
      <c r="L129" t="str">
        <f t="shared" si="2"/>
        <v/>
      </c>
    </row>
    <row r="130" spans="12:12" x14ac:dyDescent="0.2">
      <c r="L130" t="str">
        <f t="shared" si="2"/>
        <v/>
      </c>
    </row>
    <row r="131" spans="12:12" x14ac:dyDescent="0.2">
      <c r="L131" t="str">
        <f t="shared" si="2"/>
        <v/>
      </c>
    </row>
    <row r="132" spans="12:12" x14ac:dyDescent="0.2">
      <c r="L132" t="str">
        <f t="shared" ref="L132:L195" si="3">IF(L131&lt;$I$15,L131+$I$16,"")</f>
        <v/>
      </c>
    </row>
    <row r="133" spans="12:12" x14ac:dyDescent="0.2">
      <c r="L133" t="str">
        <f t="shared" si="3"/>
        <v/>
      </c>
    </row>
    <row r="134" spans="12:12" x14ac:dyDescent="0.2">
      <c r="L134" t="str">
        <f t="shared" si="3"/>
        <v/>
      </c>
    </row>
    <row r="135" spans="12:12" x14ac:dyDescent="0.2">
      <c r="L135" t="str">
        <f t="shared" si="3"/>
        <v/>
      </c>
    </row>
    <row r="136" spans="12:12" x14ac:dyDescent="0.2">
      <c r="L136" t="str">
        <f t="shared" si="3"/>
        <v/>
      </c>
    </row>
    <row r="137" spans="12:12" x14ac:dyDescent="0.2">
      <c r="L137" t="str">
        <f t="shared" si="3"/>
        <v/>
      </c>
    </row>
    <row r="138" spans="12:12" x14ac:dyDescent="0.2">
      <c r="L138" t="str">
        <f t="shared" si="3"/>
        <v/>
      </c>
    </row>
    <row r="139" spans="12:12" x14ac:dyDescent="0.2">
      <c r="L139" t="str">
        <f t="shared" si="3"/>
        <v/>
      </c>
    </row>
    <row r="140" spans="12:12" x14ac:dyDescent="0.2">
      <c r="L140" t="str">
        <f t="shared" si="3"/>
        <v/>
      </c>
    </row>
    <row r="141" spans="12:12" x14ac:dyDescent="0.2">
      <c r="L141" t="str">
        <f t="shared" si="3"/>
        <v/>
      </c>
    </row>
    <row r="142" spans="12:12" x14ac:dyDescent="0.2">
      <c r="L142" t="str">
        <f t="shared" si="3"/>
        <v/>
      </c>
    </row>
    <row r="143" spans="12:12" x14ac:dyDescent="0.2">
      <c r="L143" t="str">
        <f t="shared" si="3"/>
        <v/>
      </c>
    </row>
    <row r="144" spans="12:12" x14ac:dyDescent="0.2">
      <c r="L144" t="str">
        <f t="shared" si="3"/>
        <v/>
      </c>
    </row>
    <row r="145" spans="12:12" x14ac:dyDescent="0.2">
      <c r="L145" t="str">
        <f t="shared" si="3"/>
        <v/>
      </c>
    </row>
    <row r="146" spans="12:12" x14ac:dyDescent="0.2">
      <c r="L146" t="str">
        <f t="shared" si="3"/>
        <v/>
      </c>
    </row>
    <row r="147" spans="12:12" x14ac:dyDescent="0.2">
      <c r="L147" t="str">
        <f t="shared" si="3"/>
        <v/>
      </c>
    </row>
    <row r="148" spans="12:12" x14ac:dyDescent="0.2">
      <c r="L148" t="str">
        <f t="shared" si="3"/>
        <v/>
      </c>
    </row>
    <row r="149" spans="12:12" x14ac:dyDescent="0.2">
      <c r="L149" t="str">
        <f t="shared" si="3"/>
        <v/>
      </c>
    </row>
    <row r="150" spans="12:12" x14ac:dyDescent="0.2">
      <c r="L150" t="str">
        <f t="shared" si="3"/>
        <v/>
      </c>
    </row>
    <row r="151" spans="12:12" x14ac:dyDescent="0.2">
      <c r="L151" t="str">
        <f t="shared" si="3"/>
        <v/>
      </c>
    </row>
    <row r="152" spans="12:12" x14ac:dyDescent="0.2">
      <c r="L152" t="str">
        <f t="shared" si="3"/>
        <v/>
      </c>
    </row>
    <row r="153" spans="12:12" x14ac:dyDescent="0.2">
      <c r="L153" t="str">
        <f t="shared" si="3"/>
        <v/>
      </c>
    </row>
    <row r="154" spans="12:12" x14ac:dyDescent="0.2">
      <c r="L154" t="str">
        <f t="shared" si="3"/>
        <v/>
      </c>
    </row>
    <row r="155" spans="12:12" x14ac:dyDescent="0.2">
      <c r="L155" t="str">
        <f t="shared" si="3"/>
        <v/>
      </c>
    </row>
    <row r="156" spans="12:12" x14ac:dyDescent="0.2">
      <c r="L156" t="str">
        <f t="shared" si="3"/>
        <v/>
      </c>
    </row>
    <row r="157" spans="12:12" x14ac:dyDescent="0.2">
      <c r="L157" t="str">
        <f t="shared" si="3"/>
        <v/>
      </c>
    </row>
    <row r="158" spans="12:12" x14ac:dyDescent="0.2">
      <c r="L158" t="str">
        <f t="shared" si="3"/>
        <v/>
      </c>
    </row>
    <row r="159" spans="12:12" x14ac:dyDescent="0.2">
      <c r="L159" t="str">
        <f t="shared" si="3"/>
        <v/>
      </c>
    </row>
    <row r="160" spans="12:12" x14ac:dyDescent="0.2">
      <c r="L160" t="str">
        <f t="shared" si="3"/>
        <v/>
      </c>
    </row>
    <row r="161" spans="12:12" x14ac:dyDescent="0.2">
      <c r="L161" t="str">
        <f t="shared" si="3"/>
        <v/>
      </c>
    </row>
    <row r="162" spans="12:12" x14ac:dyDescent="0.2">
      <c r="L162" t="str">
        <f t="shared" si="3"/>
        <v/>
      </c>
    </row>
    <row r="163" spans="12:12" x14ac:dyDescent="0.2">
      <c r="L163" t="str">
        <f t="shared" si="3"/>
        <v/>
      </c>
    </row>
    <row r="164" spans="12:12" x14ac:dyDescent="0.2">
      <c r="L164" t="str">
        <f t="shared" si="3"/>
        <v/>
      </c>
    </row>
    <row r="165" spans="12:12" x14ac:dyDescent="0.2">
      <c r="L165" t="str">
        <f t="shared" si="3"/>
        <v/>
      </c>
    </row>
    <row r="166" spans="12:12" x14ac:dyDescent="0.2">
      <c r="L166" t="str">
        <f t="shared" si="3"/>
        <v/>
      </c>
    </row>
    <row r="167" spans="12:12" x14ac:dyDescent="0.2">
      <c r="L167" t="str">
        <f t="shared" si="3"/>
        <v/>
      </c>
    </row>
    <row r="168" spans="12:12" x14ac:dyDescent="0.2">
      <c r="L168" t="str">
        <f t="shared" si="3"/>
        <v/>
      </c>
    </row>
    <row r="169" spans="12:12" x14ac:dyDescent="0.2">
      <c r="L169" t="str">
        <f t="shared" si="3"/>
        <v/>
      </c>
    </row>
    <row r="170" spans="12:12" x14ac:dyDescent="0.2">
      <c r="L170" t="str">
        <f t="shared" si="3"/>
        <v/>
      </c>
    </row>
    <row r="171" spans="12:12" x14ac:dyDescent="0.2">
      <c r="L171" t="str">
        <f t="shared" si="3"/>
        <v/>
      </c>
    </row>
    <row r="172" spans="12:12" x14ac:dyDescent="0.2">
      <c r="L172" t="str">
        <f t="shared" si="3"/>
        <v/>
      </c>
    </row>
    <row r="173" spans="12:12" x14ac:dyDescent="0.2">
      <c r="L173" t="str">
        <f t="shared" si="3"/>
        <v/>
      </c>
    </row>
    <row r="174" spans="12:12" x14ac:dyDescent="0.2">
      <c r="L174" t="str">
        <f t="shared" si="3"/>
        <v/>
      </c>
    </row>
    <row r="175" spans="12:12" x14ac:dyDescent="0.2">
      <c r="L175" t="str">
        <f t="shared" si="3"/>
        <v/>
      </c>
    </row>
    <row r="176" spans="12:12" x14ac:dyDescent="0.2">
      <c r="L176" t="str">
        <f t="shared" si="3"/>
        <v/>
      </c>
    </row>
    <row r="177" spans="12:12" x14ac:dyDescent="0.2">
      <c r="L177" t="str">
        <f t="shared" si="3"/>
        <v/>
      </c>
    </row>
    <row r="178" spans="12:12" x14ac:dyDescent="0.2">
      <c r="L178" t="str">
        <f t="shared" si="3"/>
        <v/>
      </c>
    </row>
    <row r="179" spans="12:12" x14ac:dyDescent="0.2">
      <c r="L179" t="str">
        <f t="shared" si="3"/>
        <v/>
      </c>
    </row>
    <row r="180" spans="12:12" x14ac:dyDescent="0.2">
      <c r="L180" t="str">
        <f t="shared" si="3"/>
        <v/>
      </c>
    </row>
    <row r="181" spans="12:12" x14ac:dyDescent="0.2">
      <c r="L181" t="str">
        <f t="shared" si="3"/>
        <v/>
      </c>
    </row>
    <row r="182" spans="12:12" x14ac:dyDescent="0.2">
      <c r="L182" t="str">
        <f t="shared" si="3"/>
        <v/>
      </c>
    </row>
    <row r="183" spans="12:12" x14ac:dyDescent="0.2">
      <c r="L183" t="str">
        <f t="shared" si="3"/>
        <v/>
      </c>
    </row>
    <row r="184" spans="12:12" x14ac:dyDescent="0.2">
      <c r="L184" t="str">
        <f t="shared" si="3"/>
        <v/>
      </c>
    </row>
    <row r="185" spans="12:12" x14ac:dyDescent="0.2">
      <c r="L185" t="str">
        <f t="shared" si="3"/>
        <v/>
      </c>
    </row>
    <row r="186" spans="12:12" x14ac:dyDescent="0.2">
      <c r="L186" t="str">
        <f t="shared" si="3"/>
        <v/>
      </c>
    </row>
    <row r="187" spans="12:12" x14ac:dyDescent="0.2">
      <c r="L187" t="str">
        <f t="shared" si="3"/>
        <v/>
      </c>
    </row>
    <row r="188" spans="12:12" x14ac:dyDescent="0.2">
      <c r="L188" t="str">
        <f t="shared" si="3"/>
        <v/>
      </c>
    </row>
    <row r="189" spans="12:12" x14ac:dyDescent="0.2">
      <c r="L189" t="str">
        <f t="shared" si="3"/>
        <v/>
      </c>
    </row>
    <row r="190" spans="12:12" x14ac:dyDescent="0.2">
      <c r="L190" t="str">
        <f t="shared" si="3"/>
        <v/>
      </c>
    </row>
    <row r="191" spans="12:12" x14ac:dyDescent="0.2">
      <c r="L191" t="str">
        <f t="shared" si="3"/>
        <v/>
      </c>
    </row>
    <row r="192" spans="12:12" x14ac:dyDescent="0.2">
      <c r="L192" t="str">
        <f t="shared" si="3"/>
        <v/>
      </c>
    </row>
    <row r="193" spans="12:12" x14ac:dyDescent="0.2">
      <c r="L193" t="str">
        <f t="shared" si="3"/>
        <v/>
      </c>
    </row>
    <row r="194" spans="12:12" x14ac:dyDescent="0.2">
      <c r="L194" t="str">
        <f t="shared" si="3"/>
        <v/>
      </c>
    </row>
    <row r="195" spans="12:12" x14ac:dyDescent="0.2">
      <c r="L195" t="str">
        <f t="shared" si="3"/>
        <v/>
      </c>
    </row>
    <row r="196" spans="12:12" x14ac:dyDescent="0.2">
      <c r="L196" t="str">
        <f t="shared" ref="L196:L259" si="4">IF(L195&lt;$I$15,L195+$I$16,"")</f>
        <v/>
      </c>
    </row>
    <row r="197" spans="12:12" x14ac:dyDescent="0.2">
      <c r="L197" t="str">
        <f t="shared" si="4"/>
        <v/>
      </c>
    </row>
    <row r="198" spans="12:12" x14ac:dyDescent="0.2">
      <c r="L198" t="str">
        <f t="shared" si="4"/>
        <v/>
      </c>
    </row>
    <row r="199" spans="12:12" x14ac:dyDescent="0.2">
      <c r="L199" t="str">
        <f t="shared" si="4"/>
        <v/>
      </c>
    </row>
    <row r="200" spans="12:12" x14ac:dyDescent="0.2">
      <c r="L200" t="str">
        <f t="shared" si="4"/>
        <v/>
      </c>
    </row>
    <row r="201" spans="12:12" x14ac:dyDescent="0.2">
      <c r="L201" t="str">
        <f t="shared" si="4"/>
        <v/>
      </c>
    </row>
    <row r="202" spans="12:12" x14ac:dyDescent="0.2">
      <c r="L202" t="str">
        <f t="shared" si="4"/>
        <v/>
      </c>
    </row>
    <row r="203" spans="12:12" x14ac:dyDescent="0.2">
      <c r="L203" t="str">
        <f t="shared" si="4"/>
        <v/>
      </c>
    </row>
    <row r="204" spans="12:12" x14ac:dyDescent="0.2">
      <c r="L204" t="str">
        <f t="shared" si="4"/>
        <v/>
      </c>
    </row>
    <row r="205" spans="12:12" x14ac:dyDescent="0.2">
      <c r="L205" t="str">
        <f t="shared" si="4"/>
        <v/>
      </c>
    </row>
    <row r="206" spans="12:12" x14ac:dyDescent="0.2">
      <c r="L206" t="str">
        <f t="shared" si="4"/>
        <v/>
      </c>
    </row>
    <row r="207" spans="12:12" x14ac:dyDescent="0.2">
      <c r="L207" t="str">
        <f t="shared" si="4"/>
        <v/>
      </c>
    </row>
    <row r="208" spans="12:12" x14ac:dyDescent="0.2">
      <c r="L208" t="str">
        <f t="shared" si="4"/>
        <v/>
      </c>
    </row>
    <row r="209" spans="12:12" x14ac:dyDescent="0.2">
      <c r="L209" t="str">
        <f t="shared" si="4"/>
        <v/>
      </c>
    </row>
    <row r="210" spans="12:12" x14ac:dyDescent="0.2">
      <c r="L210" t="str">
        <f t="shared" si="4"/>
        <v/>
      </c>
    </row>
    <row r="211" spans="12:12" x14ac:dyDescent="0.2">
      <c r="L211" t="str">
        <f t="shared" si="4"/>
        <v/>
      </c>
    </row>
    <row r="212" spans="12:12" x14ac:dyDescent="0.2">
      <c r="L212" t="str">
        <f t="shared" si="4"/>
        <v/>
      </c>
    </row>
    <row r="213" spans="12:12" x14ac:dyDescent="0.2">
      <c r="L213" t="str">
        <f t="shared" si="4"/>
        <v/>
      </c>
    </row>
    <row r="214" spans="12:12" x14ac:dyDescent="0.2">
      <c r="L214" t="str">
        <f t="shared" si="4"/>
        <v/>
      </c>
    </row>
    <row r="215" spans="12:12" x14ac:dyDescent="0.2">
      <c r="L215" t="str">
        <f t="shared" si="4"/>
        <v/>
      </c>
    </row>
    <row r="216" spans="12:12" x14ac:dyDescent="0.2">
      <c r="L216" t="str">
        <f t="shared" si="4"/>
        <v/>
      </c>
    </row>
    <row r="217" spans="12:12" x14ac:dyDescent="0.2">
      <c r="L217" t="str">
        <f t="shared" si="4"/>
        <v/>
      </c>
    </row>
    <row r="218" spans="12:12" x14ac:dyDescent="0.2">
      <c r="L218" t="str">
        <f t="shared" si="4"/>
        <v/>
      </c>
    </row>
    <row r="219" spans="12:12" x14ac:dyDescent="0.2">
      <c r="L219" t="str">
        <f t="shared" si="4"/>
        <v/>
      </c>
    </row>
    <row r="220" spans="12:12" x14ac:dyDescent="0.2">
      <c r="L220" t="str">
        <f t="shared" si="4"/>
        <v/>
      </c>
    </row>
    <row r="221" spans="12:12" x14ac:dyDescent="0.2">
      <c r="L221" t="str">
        <f t="shared" si="4"/>
        <v/>
      </c>
    </row>
    <row r="222" spans="12:12" x14ac:dyDescent="0.2">
      <c r="L222" t="str">
        <f t="shared" si="4"/>
        <v/>
      </c>
    </row>
    <row r="223" spans="12:12" x14ac:dyDescent="0.2">
      <c r="L223" t="str">
        <f t="shared" si="4"/>
        <v/>
      </c>
    </row>
    <row r="224" spans="12:12" x14ac:dyDescent="0.2">
      <c r="L224" t="str">
        <f t="shared" si="4"/>
        <v/>
      </c>
    </row>
    <row r="225" spans="12:12" x14ac:dyDescent="0.2">
      <c r="L225" t="str">
        <f t="shared" si="4"/>
        <v/>
      </c>
    </row>
    <row r="226" spans="12:12" x14ac:dyDescent="0.2">
      <c r="L226" t="str">
        <f t="shared" si="4"/>
        <v/>
      </c>
    </row>
    <row r="227" spans="12:12" x14ac:dyDescent="0.2">
      <c r="L227" t="str">
        <f t="shared" si="4"/>
        <v/>
      </c>
    </row>
    <row r="228" spans="12:12" x14ac:dyDescent="0.2">
      <c r="L228" t="str">
        <f t="shared" si="4"/>
        <v/>
      </c>
    </row>
    <row r="229" spans="12:12" x14ac:dyDescent="0.2">
      <c r="L229" t="str">
        <f t="shared" si="4"/>
        <v/>
      </c>
    </row>
    <row r="230" spans="12:12" x14ac:dyDescent="0.2">
      <c r="L230" t="str">
        <f t="shared" si="4"/>
        <v/>
      </c>
    </row>
    <row r="231" spans="12:12" x14ac:dyDescent="0.2">
      <c r="L231" t="str">
        <f t="shared" si="4"/>
        <v/>
      </c>
    </row>
    <row r="232" spans="12:12" x14ac:dyDescent="0.2">
      <c r="L232" t="str">
        <f t="shared" si="4"/>
        <v/>
      </c>
    </row>
    <row r="233" spans="12:12" x14ac:dyDescent="0.2">
      <c r="L233" t="str">
        <f t="shared" si="4"/>
        <v/>
      </c>
    </row>
    <row r="234" spans="12:12" x14ac:dyDescent="0.2">
      <c r="L234" t="str">
        <f t="shared" si="4"/>
        <v/>
      </c>
    </row>
    <row r="235" spans="12:12" x14ac:dyDescent="0.2">
      <c r="L235" t="str">
        <f t="shared" si="4"/>
        <v/>
      </c>
    </row>
    <row r="236" spans="12:12" x14ac:dyDescent="0.2">
      <c r="L236" t="str">
        <f t="shared" si="4"/>
        <v/>
      </c>
    </row>
    <row r="237" spans="12:12" x14ac:dyDescent="0.2">
      <c r="L237" t="str">
        <f t="shared" si="4"/>
        <v/>
      </c>
    </row>
    <row r="238" spans="12:12" x14ac:dyDescent="0.2">
      <c r="L238" t="str">
        <f t="shared" si="4"/>
        <v/>
      </c>
    </row>
    <row r="239" spans="12:12" x14ac:dyDescent="0.2">
      <c r="L239" t="str">
        <f t="shared" si="4"/>
        <v/>
      </c>
    </row>
    <row r="240" spans="12:12" x14ac:dyDescent="0.2">
      <c r="L240" t="str">
        <f t="shared" si="4"/>
        <v/>
      </c>
    </row>
    <row r="241" spans="12:12" x14ac:dyDescent="0.2">
      <c r="L241" t="str">
        <f t="shared" si="4"/>
        <v/>
      </c>
    </row>
    <row r="242" spans="12:12" x14ac:dyDescent="0.2">
      <c r="L242" t="str">
        <f t="shared" si="4"/>
        <v/>
      </c>
    </row>
    <row r="243" spans="12:12" x14ac:dyDescent="0.2">
      <c r="L243" t="str">
        <f t="shared" si="4"/>
        <v/>
      </c>
    </row>
    <row r="244" spans="12:12" x14ac:dyDescent="0.2">
      <c r="L244" t="str">
        <f t="shared" si="4"/>
        <v/>
      </c>
    </row>
    <row r="245" spans="12:12" x14ac:dyDescent="0.2">
      <c r="L245" t="str">
        <f t="shared" si="4"/>
        <v/>
      </c>
    </row>
    <row r="246" spans="12:12" x14ac:dyDescent="0.2">
      <c r="L246" t="str">
        <f t="shared" si="4"/>
        <v/>
      </c>
    </row>
    <row r="247" spans="12:12" x14ac:dyDescent="0.2">
      <c r="L247" t="str">
        <f t="shared" si="4"/>
        <v/>
      </c>
    </row>
    <row r="248" spans="12:12" x14ac:dyDescent="0.2">
      <c r="L248" t="str">
        <f t="shared" si="4"/>
        <v/>
      </c>
    </row>
    <row r="249" spans="12:12" x14ac:dyDescent="0.2">
      <c r="L249" t="str">
        <f t="shared" si="4"/>
        <v/>
      </c>
    </row>
    <row r="250" spans="12:12" x14ac:dyDescent="0.2">
      <c r="L250" t="str">
        <f t="shared" si="4"/>
        <v/>
      </c>
    </row>
    <row r="251" spans="12:12" x14ac:dyDescent="0.2">
      <c r="L251" t="str">
        <f t="shared" si="4"/>
        <v/>
      </c>
    </row>
    <row r="252" spans="12:12" x14ac:dyDescent="0.2">
      <c r="L252" t="str">
        <f t="shared" si="4"/>
        <v/>
      </c>
    </row>
    <row r="253" spans="12:12" x14ac:dyDescent="0.2">
      <c r="L253" t="str">
        <f t="shared" si="4"/>
        <v/>
      </c>
    </row>
    <row r="254" spans="12:12" x14ac:dyDescent="0.2">
      <c r="L254" t="str">
        <f t="shared" si="4"/>
        <v/>
      </c>
    </row>
    <row r="255" spans="12:12" x14ac:dyDescent="0.2">
      <c r="L255" t="str">
        <f t="shared" si="4"/>
        <v/>
      </c>
    </row>
    <row r="256" spans="12:12" x14ac:dyDescent="0.2">
      <c r="L256" t="str">
        <f t="shared" si="4"/>
        <v/>
      </c>
    </row>
    <row r="257" spans="12:12" x14ac:dyDescent="0.2">
      <c r="L257" t="str">
        <f t="shared" si="4"/>
        <v/>
      </c>
    </row>
    <row r="258" spans="12:12" x14ac:dyDescent="0.2">
      <c r="L258" t="str">
        <f t="shared" si="4"/>
        <v/>
      </c>
    </row>
    <row r="259" spans="12:12" x14ac:dyDescent="0.2">
      <c r="L259" t="str">
        <f t="shared" si="4"/>
        <v/>
      </c>
    </row>
    <row r="260" spans="12:12" x14ac:dyDescent="0.2">
      <c r="L260" t="str">
        <f t="shared" ref="L260:L323" si="5">IF(L259&lt;$I$15,L259+$I$16,"")</f>
        <v/>
      </c>
    </row>
    <row r="261" spans="12:12" x14ac:dyDescent="0.2">
      <c r="L261" t="str">
        <f t="shared" si="5"/>
        <v/>
      </c>
    </row>
    <row r="262" spans="12:12" x14ac:dyDescent="0.2">
      <c r="L262" t="str">
        <f t="shared" si="5"/>
        <v/>
      </c>
    </row>
    <row r="263" spans="12:12" x14ac:dyDescent="0.2">
      <c r="L263" t="str">
        <f t="shared" si="5"/>
        <v/>
      </c>
    </row>
    <row r="264" spans="12:12" x14ac:dyDescent="0.2">
      <c r="L264" t="str">
        <f t="shared" si="5"/>
        <v/>
      </c>
    </row>
    <row r="265" spans="12:12" x14ac:dyDescent="0.2">
      <c r="L265" t="str">
        <f t="shared" si="5"/>
        <v/>
      </c>
    </row>
    <row r="266" spans="12:12" x14ac:dyDescent="0.2">
      <c r="L266" t="str">
        <f t="shared" si="5"/>
        <v/>
      </c>
    </row>
    <row r="267" spans="12:12" x14ac:dyDescent="0.2">
      <c r="L267" t="str">
        <f t="shared" si="5"/>
        <v/>
      </c>
    </row>
    <row r="268" spans="12:12" x14ac:dyDescent="0.2">
      <c r="L268" t="str">
        <f t="shared" si="5"/>
        <v/>
      </c>
    </row>
    <row r="269" spans="12:12" x14ac:dyDescent="0.2">
      <c r="L269" t="str">
        <f t="shared" si="5"/>
        <v/>
      </c>
    </row>
    <row r="270" spans="12:12" x14ac:dyDescent="0.2">
      <c r="L270" t="str">
        <f t="shared" si="5"/>
        <v/>
      </c>
    </row>
    <row r="271" spans="12:12" x14ac:dyDescent="0.2">
      <c r="L271" t="str">
        <f t="shared" si="5"/>
        <v/>
      </c>
    </row>
    <row r="272" spans="12:12" x14ac:dyDescent="0.2">
      <c r="L272" t="str">
        <f t="shared" si="5"/>
        <v/>
      </c>
    </row>
    <row r="273" spans="12:12" x14ac:dyDescent="0.2">
      <c r="L273" t="str">
        <f t="shared" si="5"/>
        <v/>
      </c>
    </row>
    <row r="274" spans="12:12" x14ac:dyDescent="0.2">
      <c r="L274" t="str">
        <f t="shared" si="5"/>
        <v/>
      </c>
    </row>
    <row r="275" spans="12:12" x14ac:dyDescent="0.2">
      <c r="L275" t="str">
        <f t="shared" si="5"/>
        <v/>
      </c>
    </row>
    <row r="276" spans="12:12" x14ac:dyDescent="0.2">
      <c r="L276" t="str">
        <f t="shared" si="5"/>
        <v/>
      </c>
    </row>
    <row r="277" spans="12:12" x14ac:dyDescent="0.2">
      <c r="L277" t="str">
        <f t="shared" si="5"/>
        <v/>
      </c>
    </row>
    <row r="278" spans="12:12" x14ac:dyDescent="0.2">
      <c r="L278" t="str">
        <f t="shared" si="5"/>
        <v/>
      </c>
    </row>
    <row r="279" spans="12:12" x14ac:dyDescent="0.2">
      <c r="L279" t="str">
        <f t="shared" si="5"/>
        <v/>
      </c>
    </row>
    <row r="280" spans="12:12" x14ac:dyDescent="0.2">
      <c r="L280" t="str">
        <f t="shared" si="5"/>
        <v/>
      </c>
    </row>
    <row r="281" spans="12:12" x14ac:dyDescent="0.2">
      <c r="L281" t="str">
        <f t="shared" si="5"/>
        <v/>
      </c>
    </row>
    <row r="282" spans="12:12" x14ac:dyDescent="0.2">
      <c r="L282" t="str">
        <f t="shared" si="5"/>
        <v/>
      </c>
    </row>
    <row r="283" spans="12:12" x14ac:dyDescent="0.2">
      <c r="L283" t="str">
        <f t="shared" si="5"/>
        <v/>
      </c>
    </row>
    <row r="284" spans="12:12" x14ac:dyDescent="0.2">
      <c r="L284" t="str">
        <f t="shared" si="5"/>
        <v/>
      </c>
    </row>
    <row r="285" spans="12:12" x14ac:dyDescent="0.2">
      <c r="L285" t="str">
        <f t="shared" si="5"/>
        <v/>
      </c>
    </row>
    <row r="286" spans="12:12" x14ac:dyDescent="0.2">
      <c r="L286" t="str">
        <f t="shared" si="5"/>
        <v/>
      </c>
    </row>
    <row r="287" spans="12:12" x14ac:dyDescent="0.2">
      <c r="L287" t="str">
        <f t="shared" si="5"/>
        <v/>
      </c>
    </row>
    <row r="288" spans="12:12" x14ac:dyDescent="0.2">
      <c r="L288" t="str">
        <f t="shared" si="5"/>
        <v/>
      </c>
    </row>
    <row r="289" spans="12:12" x14ac:dyDescent="0.2">
      <c r="L289" t="str">
        <f t="shared" si="5"/>
        <v/>
      </c>
    </row>
    <row r="290" spans="12:12" x14ac:dyDescent="0.2">
      <c r="L290" t="str">
        <f t="shared" si="5"/>
        <v/>
      </c>
    </row>
    <row r="291" spans="12:12" x14ac:dyDescent="0.2">
      <c r="L291" t="str">
        <f t="shared" si="5"/>
        <v/>
      </c>
    </row>
    <row r="292" spans="12:12" x14ac:dyDescent="0.2">
      <c r="L292" t="str">
        <f t="shared" si="5"/>
        <v/>
      </c>
    </row>
    <row r="293" spans="12:12" x14ac:dyDescent="0.2">
      <c r="L293" t="str">
        <f t="shared" si="5"/>
        <v/>
      </c>
    </row>
    <row r="294" spans="12:12" x14ac:dyDescent="0.2">
      <c r="L294" t="str">
        <f t="shared" si="5"/>
        <v/>
      </c>
    </row>
    <row r="295" spans="12:12" x14ac:dyDescent="0.2">
      <c r="L295" t="str">
        <f t="shared" si="5"/>
        <v/>
      </c>
    </row>
    <row r="296" spans="12:12" x14ac:dyDescent="0.2">
      <c r="L296" t="str">
        <f t="shared" si="5"/>
        <v/>
      </c>
    </row>
    <row r="297" spans="12:12" x14ac:dyDescent="0.2">
      <c r="L297" t="str">
        <f t="shared" si="5"/>
        <v/>
      </c>
    </row>
    <row r="298" spans="12:12" x14ac:dyDescent="0.2">
      <c r="L298" t="str">
        <f t="shared" si="5"/>
        <v/>
      </c>
    </row>
    <row r="299" spans="12:12" x14ac:dyDescent="0.2">
      <c r="L299" t="str">
        <f t="shared" si="5"/>
        <v/>
      </c>
    </row>
    <row r="300" spans="12:12" x14ac:dyDescent="0.2">
      <c r="L300" t="str">
        <f t="shared" si="5"/>
        <v/>
      </c>
    </row>
    <row r="301" spans="12:12" x14ac:dyDescent="0.2">
      <c r="L301" t="str">
        <f t="shared" si="5"/>
        <v/>
      </c>
    </row>
    <row r="302" spans="12:12" x14ac:dyDescent="0.2">
      <c r="L302" t="str">
        <f t="shared" si="5"/>
        <v/>
      </c>
    </row>
    <row r="303" spans="12:12" x14ac:dyDescent="0.2">
      <c r="L303" t="str">
        <f t="shared" si="5"/>
        <v/>
      </c>
    </row>
    <row r="304" spans="12:12" x14ac:dyDescent="0.2">
      <c r="L304" t="str">
        <f t="shared" si="5"/>
        <v/>
      </c>
    </row>
    <row r="305" spans="12:12" x14ac:dyDescent="0.2">
      <c r="L305" t="str">
        <f t="shared" si="5"/>
        <v/>
      </c>
    </row>
    <row r="306" spans="12:12" x14ac:dyDescent="0.2">
      <c r="L306" t="str">
        <f t="shared" si="5"/>
        <v/>
      </c>
    </row>
    <row r="307" spans="12:12" x14ac:dyDescent="0.2">
      <c r="L307" t="str">
        <f t="shared" si="5"/>
        <v/>
      </c>
    </row>
    <row r="308" spans="12:12" x14ac:dyDescent="0.2">
      <c r="L308" t="str">
        <f t="shared" si="5"/>
        <v/>
      </c>
    </row>
    <row r="309" spans="12:12" x14ac:dyDescent="0.2">
      <c r="L309" t="str">
        <f t="shared" si="5"/>
        <v/>
      </c>
    </row>
    <row r="310" spans="12:12" x14ac:dyDescent="0.2">
      <c r="L310" t="str">
        <f t="shared" si="5"/>
        <v/>
      </c>
    </row>
    <row r="311" spans="12:12" x14ac:dyDescent="0.2">
      <c r="L311" t="str">
        <f t="shared" si="5"/>
        <v/>
      </c>
    </row>
    <row r="312" spans="12:12" x14ac:dyDescent="0.2">
      <c r="L312" t="str">
        <f t="shared" si="5"/>
        <v/>
      </c>
    </row>
    <row r="313" spans="12:12" x14ac:dyDescent="0.2">
      <c r="L313" t="str">
        <f t="shared" si="5"/>
        <v/>
      </c>
    </row>
    <row r="314" spans="12:12" x14ac:dyDescent="0.2">
      <c r="L314" t="str">
        <f t="shared" si="5"/>
        <v/>
      </c>
    </row>
    <row r="315" spans="12:12" x14ac:dyDescent="0.2">
      <c r="L315" t="str">
        <f t="shared" si="5"/>
        <v/>
      </c>
    </row>
    <row r="316" spans="12:12" x14ac:dyDescent="0.2">
      <c r="L316" t="str">
        <f t="shared" si="5"/>
        <v/>
      </c>
    </row>
    <row r="317" spans="12:12" x14ac:dyDescent="0.2">
      <c r="L317" t="str">
        <f t="shared" si="5"/>
        <v/>
      </c>
    </row>
    <row r="318" spans="12:12" x14ac:dyDescent="0.2">
      <c r="L318" t="str">
        <f t="shared" si="5"/>
        <v/>
      </c>
    </row>
    <row r="319" spans="12:12" x14ac:dyDescent="0.2">
      <c r="L319" t="str">
        <f t="shared" si="5"/>
        <v/>
      </c>
    </row>
    <row r="320" spans="12:12" x14ac:dyDescent="0.2">
      <c r="L320" t="str">
        <f t="shared" si="5"/>
        <v/>
      </c>
    </row>
    <row r="321" spans="12:12" x14ac:dyDescent="0.2">
      <c r="L321" t="str">
        <f t="shared" si="5"/>
        <v/>
      </c>
    </row>
    <row r="322" spans="12:12" x14ac:dyDescent="0.2">
      <c r="L322" t="str">
        <f t="shared" si="5"/>
        <v/>
      </c>
    </row>
    <row r="323" spans="12:12" x14ac:dyDescent="0.2">
      <c r="L323" t="str">
        <f t="shared" si="5"/>
        <v/>
      </c>
    </row>
    <row r="324" spans="12:12" x14ac:dyDescent="0.2">
      <c r="L324" t="str">
        <f t="shared" ref="L324:L387" si="6">IF(L323&lt;$I$15,L323+$I$16,"")</f>
        <v/>
      </c>
    </row>
    <row r="325" spans="12:12" x14ac:dyDescent="0.2">
      <c r="L325" t="str">
        <f t="shared" si="6"/>
        <v/>
      </c>
    </row>
    <row r="326" spans="12:12" x14ac:dyDescent="0.2">
      <c r="L326" t="str">
        <f t="shared" si="6"/>
        <v/>
      </c>
    </row>
    <row r="327" spans="12:12" x14ac:dyDescent="0.2">
      <c r="L327" t="str">
        <f t="shared" si="6"/>
        <v/>
      </c>
    </row>
    <row r="328" spans="12:12" x14ac:dyDescent="0.2">
      <c r="L328" t="str">
        <f t="shared" si="6"/>
        <v/>
      </c>
    </row>
    <row r="329" spans="12:12" x14ac:dyDescent="0.2">
      <c r="L329" t="str">
        <f t="shared" si="6"/>
        <v/>
      </c>
    </row>
    <row r="330" spans="12:12" x14ac:dyDescent="0.2">
      <c r="L330" t="str">
        <f t="shared" si="6"/>
        <v/>
      </c>
    </row>
    <row r="331" spans="12:12" x14ac:dyDescent="0.2">
      <c r="L331" t="str">
        <f t="shared" si="6"/>
        <v/>
      </c>
    </row>
    <row r="332" spans="12:12" x14ac:dyDescent="0.2">
      <c r="L332" t="str">
        <f t="shared" si="6"/>
        <v/>
      </c>
    </row>
    <row r="333" spans="12:12" x14ac:dyDescent="0.2">
      <c r="L333" t="str">
        <f t="shared" si="6"/>
        <v/>
      </c>
    </row>
    <row r="334" spans="12:12" x14ac:dyDescent="0.2">
      <c r="L334" t="str">
        <f t="shared" si="6"/>
        <v/>
      </c>
    </row>
    <row r="335" spans="12:12" x14ac:dyDescent="0.2">
      <c r="L335" t="str">
        <f t="shared" si="6"/>
        <v/>
      </c>
    </row>
    <row r="336" spans="12:12" x14ac:dyDescent="0.2">
      <c r="L336" t="str">
        <f t="shared" si="6"/>
        <v/>
      </c>
    </row>
    <row r="337" spans="12:12" x14ac:dyDescent="0.2">
      <c r="L337" t="str">
        <f t="shared" si="6"/>
        <v/>
      </c>
    </row>
    <row r="338" spans="12:12" x14ac:dyDescent="0.2">
      <c r="L338" t="str">
        <f t="shared" si="6"/>
        <v/>
      </c>
    </row>
    <row r="339" spans="12:12" x14ac:dyDescent="0.2">
      <c r="L339" t="str">
        <f t="shared" si="6"/>
        <v/>
      </c>
    </row>
    <row r="340" spans="12:12" x14ac:dyDescent="0.2">
      <c r="L340" t="str">
        <f t="shared" si="6"/>
        <v/>
      </c>
    </row>
    <row r="341" spans="12:12" x14ac:dyDescent="0.2">
      <c r="L341" t="str">
        <f t="shared" si="6"/>
        <v/>
      </c>
    </row>
    <row r="342" spans="12:12" x14ac:dyDescent="0.2">
      <c r="L342" t="str">
        <f t="shared" si="6"/>
        <v/>
      </c>
    </row>
    <row r="343" spans="12:12" x14ac:dyDescent="0.2">
      <c r="L343" t="str">
        <f t="shared" si="6"/>
        <v/>
      </c>
    </row>
    <row r="344" spans="12:12" x14ac:dyDescent="0.2">
      <c r="L344" t="str">
        <f t="shared" si="6"/>
        <v/>
      </c>
    </row>
    <row r="345" spans="12:12" x14ac:dyDescent="0.2">
      <c r="L345" t="str">
        <f t="shared" si="6"/>
        <v/>
      </c>
    </row>
    <row r="346" spans="12:12" x14ac:dyDescent="0.2">
      <c r="L346" t="str">
        <f t="shared" si="6"/>
        <v/>
      </c>
    </row>
    <row r="347" spans="12:12" x14ac:dyDescent="0.2">
      <c r="L347" t="str">
        <f t="shared" si="6"/>
        <v/>
      </c>
    </row>
    <row r="348" spans="12:12" x14ac:dyDescent="0.2">
      <c r="L348" t="str">
        <f t="shared" si="6"/>
        <v/>
      </c>
    </row>
    <row r="349" spans="12:12" x14ac:dyDescent="0.2">
      <c r="L349" t="str">
        <f t="shared" si="6"/>
        <v/>
      </c>
    </row>
    <row r="350" spans="12:12" x14ac:dyDescent="0.2">
      <c r="L350" t="str">
        <f t="shared" si="6"/>
        <v/>
      </c>
    </row>
    <row r="351" spans="12:12" x14ac:dyDescent="0.2">
      <c r="L351" t="str">
        <f t="shared" si="6"/>
        <v/>
      </c>
    </row>
    <row r="352" spans="12:12" x14ac:dyDescent="0.2">
      <c r="L352" t="str">
        <f t="shared" si="6"/>
        <v/>
      </c>
    </row>
    <row r="353" spans="12:12" x14ac:dyDescent="0.2">
      <c r="L353" t="str">
        <f t="shared" si="6"/>
        <v/>
      </c>
    </row>
    <row r="354" spans="12:12" x14ac:dyDescent="0.2">
      <c r="L354" t="str">
        <f t="shared" si="6"/>
        <v/>
      </c>
    </row>
    <row r="355" spans="12:12" x14ac:dyDescent="0.2">
      <c r="L355" t="str">
        <f t="shared" si="6"/>
        <v/>
      </c>
    </row>
    <row r="356" spans="12:12" x14ac:dyDescent="0.2">
      <c r="L356" t="str">
        <f t="shared" si="6"/>
        <v/>
      </c>
    </row>
    <row r="357" spans="12:12" x14ac:dyDescent="0.2">
      <c r="L357" t="str">
        <f t="shared" si="6"/>
        <v/>
      </c>
    </row>
    <row r="358" spans="12:12" x14ac:dyDescent="0.2">
      <c r="L358" t="str">
        <f t="shared" si="6"/>
        <v/>
      </c>
    </row>
    <row r="359" spans="12:12" x14ac:dyDescent="0.2">
      <c r="L359" t="str">
        <f t="shared" si="6"/>
        <v/>
      </c>
    </row>
    <row r="360" spans="12:12" x14ac:dyDescent="0.2">
      <c r="L360" t="str">
        <f t="shared" si="6"/>
        <v/>
      </c>
    </row>
    <row r="361" spans="12:12" x14ac:dyDescent="0.2">
      <c r="L361" t="str">
        <f t="shared" si="6"/>
        <v/>
      </c>
    </row>
    <row r="362" spans="12:12" x14ac:dyDescent="0.2">
      <c r="L362" t="str">
        <f t="shared" si="6"/>
        <v/>
      </c>
    </row>
    <row r="363" spans="12:12" x14ac:dyDescent="0.2">
      <c r="L363" t="str">
        <f t="shared" si="6"/>
        <v/>
      </c>
    </row>
    <row r="364" spans="12:12" x14ac:dyDescent="0.2">
      <c r="L364" t="str">
        <f t="shared" si="6"/>
        <v/>
      </c>
    </row>
    <row r="365" spans="12:12" x14ac:dyDescent="0.2">
      <c r="L365" t="str">
        <f t="shared" si="6"/>
        <v/>
      </c>
    </row>
    <row r="366" spans="12:12" x14ac:dyDescent="0.2">
      <c r="L366" t="str">
        <f t="shared" si="6"/>
        <v/>
      </c>
    </row>
    <row r="367" spans="12:12" x14ac:dyDescent="0.2">
      <c r="L367" t="str">
        <f t="shared" si="6"/>
        <v/>
      </c>
    </row>
    <row r="368" spans="12:12" x14ac:dyDescent="0.2">
      <c r="L368" t="str">
        <f t="shared" si="6"/>
        <v/>
      </c>
    </row>
    <row r="369" spans="12:12" x14ac:dyDescent="0.2">
      <c r="L369" t="str">
        <f t="shared" si="6"/>
        <v/>
      </c>
    </row>
    <row r="370" spans="12:12" x14ac:dyDescent="0.2">
      <c r="L370" t="str">
        <f t="shared" si="6"/>
        <v/>
      </c>
    </row>
    <row r="371" spans="12:12" x14ac:dyDescent="0.2">
      <c r="L371" t="str">
        <f t="shared" si="6"/>
        <v/>
      </c>
    </row>
    <row r="372" spans="12:12" x14ac:dyDescent="0.2">
      <c r="L372" t="str">
        <f t="shared" si="6"/>
        <v/>
      </c>
    </row>
    <row r="373" spans="12:12" x14ac:dyDescent="0.2">
      <c r="L373" t="str">
        <f t="shared" si="6"/>
        <v/>
      </c>
    </row>
    <row r="374" spans="12:12" x14ac:dyDescent="0.2">
      <c r="L374" t="str">
        <f t="shared" si="6"/>
        <v/>
      </c>
    </row>
    <row r="375" spans="12:12" x14ac:dyDescent="0.2">
      <c r="L375" t="str">
        <f t="shared" si="6"/>
        <v/>
      </c>
    </row>
    <row r="376" spans="12:12" x14ac:dyDescent="0.2">
      <c r="L376" t="str">
        <f t="shared" si="6"/>
        <v/>
      </c>
    </row>
    <row r="377" spans="12:12" x14ac:dyDescent="0.2">
      <c r="L377" t="str">
        <f t="shared" si="6"/>
        <v/>
      </c>
    </row>
    <row r="378" spans="12:12" x14ac:dyDescent="0.2">
      <c r="L378" t="str">
        <f t="shared" si="6"/>
        <v/>
      </c>
    </row>
    <row r="379" spans="12:12" x14ac:dyDescent="0.2">
      <c r="L379" t="str">
        <f t="shared" si="6"/>
        <v/>
      </c>
    </row>
    <row r="380" spans="12:12" x14ac:dyDescent="0.2">
      <c r="L380" t="str">
        <f t="shared" si="6"/>
        <v/>
      </c>
    </row>
    <row r="381" spans="12:12" x14ac:dyDescent="0.2">
      <c r="L381" t="str">
        <f t="shared" si="6"/>
        <v/>
      </c>
    </row>
    <row r="382" spans="12:12" x14ac:dyDescent="0.2">
      <c r="L382" t="str">
        <f t="shared" si="6"/>
        <v/>
      </c>
    </row>
    <row r="383" spans="12:12" x14ac:dyDescent="0.2">
      <c r="L383" t="str">
        <f t="shared" si="6"/>
        <v/>
      </c>
    </row>
    <row r="384" spans="12:12" x14ac:dyDescent="0.2">
      <c r="L384" t="str">
        <f t="shared" si="6"/>
        <v/>
      </c>
    </row>
    <row r="385" spans="12:12" x14ac:dyDescent="0.2">
      <c r="L385" t="str">
        <f t="shared" si="6"/>
        <v/>
      </c>
    </row>
    <row r="386" spans="12:12" x14ac:dyDescent="0.2">
      <c r="L386" t="str">
        <f t="shared" si="6"/>
        <v/>
      </c>
    </row>
    <row r="387" spans="12:12" x14ac:dyDescent="0.2">
      <c r="L387" t="str">
        <f t="shared" si="6"/>
        <v/>
      </c>
    </row>
    <row r="388" spans="12:12" x14ac:dyDescent="0.2">
      <c r="L388" t="str">
        <f t="shared" ref="L388:L451" si="7">IF(L387&lt;$I$15,L387+$I$16,"")</f>
        <v/>
      </c>
    </row>
    <row r="389" spans="12:12" x14ac:dyDescent="0.2">
      <c r="L389" t="str">
        <f t="shared" si="7"/>
        <v/>
      </c>
    </row>
    <row r="390" spans="12:12" x14ac:dyDescent="0.2">
      <c r="L390" t="str">
        <f t="shared" si="7"/>
        <v/>
      </c>
    </row>
    <row r="391" spans="12:12" x14ac:dyDescent="0.2">
      <c r="L391" t="str">
        <f t="shared" si="7"/>
        <v/>
      </c>
    </row>
    <row r="392" spans="12:12" x14ac:dyDescent="0.2">
      <c r="L392" t="str">
        <f t="shared" si="7"/>
        <v/>
      </c>
    </row>
    <row r="393" spans="12:12" x14ac:dyDescent="0.2">
      <c r="L393" t="str">
        <f t="shared" si="7"/>
        <v/>
      </c>
    </row>
    <row r="394" spans="12:12" x14ac:dyDescent="0.2">
      <c r="L394" t="str">
        <f t="shared" si="7"/>
        <v/>
      </c>
    </row>
    <row r="395" spans="12:12" x14ac:dyDescent="0.2">
      <c r="L395" t="str">
        <f t="shared" si="7"/>
        <v/>
      </c>
    </row>
    <row r="396" spans="12:12" x14ac:dyDescent="0.2">
      <c r="L396" t="str">
        <f t="shared" si="7"/>
        <v/>
      </c>
    </row>
    <row r="397" spans="12:12" x14ac:dyDescent="0.2">
      <c r="L397" t="str">
        <f t="shared" si="7"/>
        <v/>
      </c>
    </row>
    <row r="398" spans="12:12" x14ac:dyDescent="0.2">
      <c r="L398" t="str">
        <f t="shared" si="7"/>
        <v/>
      </c>
    </row>
    <row r="399" spans="12:12" x14ac:dyDescent="0.2">
      <c r="L399" t="str">
        <f t="shared" si="7"/>
        <v/>
      </c>
    </row>
    <row r="400" spans="12:12" x14ac:dyDescent="0.2">
      <c r="L400" t="str">
        <f t="shared" si="7"/>
        <v/>
      </c>
    </row>
    <row r="401" spans="12:12" x14ac:dyDescent="0.2">
      <c r="L401" t="str">
        <f t="shared" si="7"/>
        <v/>
      </c>
    </row>
    <row r="402" spans="12:12" x14ac:dyDescent="0.2">
      <c r="L402" t="str">
        <f t="shared" si="7"/>
        <v/>
      </c>
    </row>
    <row r="403" spans="12:12" x14ac:dyDescent="0.2">
      <c r="L403" t="str">
        <f t="shared" si="7"/>
        <v/>
      </c>
    </row>
    <row r="404" spans="12:12" x14ac:dyDescent="0.2">
      <c r="L404" t="str">
        <f t="shared" si="7"/>
        <v/>
      </c>
    </row>
    <row r="405" spans="12:12" x14ac:dyDescent="0.2">
      <c r="L405" t="str">
        <f t="shared" si="7"/>
        <v/>
      </c>
    </row>
    <row r="406" spans="12:12" x14ac:dyDescent="0.2">
      <c r="L406" t="str">
        <f t="shared" si="7"/>
        <v/>
      </c>
    </row>
    <row r="407" spans="12:12" x14ac:dyDescent="0.2">
      <c r="L407" t="str">
        <f t="shared" si="7"/>
        <v/>
      </c>
    </row>
    <row r="408" spans="12:12" x14ac:dyDescent="0.2">
      <c r="L408" t="str">
        <f t="shared" si="7"/>
        <v/>
      </c>
    </row>
    <row r="409" spans="12:12" x14ac:dyDescent="0.2">
      <c r="L409" t="str">
        <f t="shared" si="7"/>
        <v/>
      </c>
    </row>
    <row r="410" spans="12:12" x14ac:dyDescent="0.2">
      <c r="L410" t="str">
        <f t="shared" si="7"/>
        <v/>
      </c>
    </row>
    <row r="411" spans="12:12" x14ac:dyDescent="0.2">
      <c r="L411" t="str">
        <f t="shared" si="7"/>
        <v/>
      </c>
    </row>
    <row r="412" spans="12:12" x14ac:dyDescent="0.2">
      <c r="L412" t="str">
        <f t="shared" si="7"/>
        <v/>
      </c>
    </row>
    <row r="413" spans="12:12" x14ac:dyDescent="0.2">
      <c r="L413" t="str">
        <f t="shared" si="7"/>
        <v/>
      </c>
    </row>
    <row r="414" spans="12:12" x14ac:dyDescent="0.2">
      <c r="L414" t="str">
        <f t="shared" si="7"/>
        <v/>
      </c>
    </row>
    <row r="415" spans="12:12" x14ac:dyDescent="0.2">
      <c r="L415" t="str">
        <f t="shared" si="7"/>
        <v/>
      </c>
    </row>
    <row r="416" spans="12:12" x14ac:dyDescent="0.2">
      <c r="L416" t="str">
        <f t="shared" si="7"/>
        <v/>
      </c>
    </row>
    <row r="417" spans="12:12" x14ac:dyDescent="0.2">
      <c r="L417" t="str">
        <f t="shared" si="7"/>
        <v/>
      </c>
    </row>
    <row r="418" spans="12:12" x14ac:dyDescent="0.2">
      <c r="L418" t="str">
        <f t="shared" si="7"/>
        <v/>
      </c>
    </row>
    <row r="419" spans="12:12" x14ac:dyDescent="0.2">
      <c r="L419" t="str">
        <f t="shared" si="7"/>
        <v/>
      </c>
    </row>
    <row r="420" spans="12:12" x14ac:dyDescent="0.2">
      <c r="L420" t="str">
        <f t="shared" si="7"/>
        <v/>
      </c>
    </row>
    <row r="421" spans="12:12" x14ac:dyDescent="0.2">
      <c r="L421" t="str">
        <f t="shared" si="7"/>
        <v/>
      </c>
    </row>
    <row r="422" spans="12:12" x14ac:dyDescent="0.2">
      <c r="L422" t="str">
        <f t="shared" si="7"/>
        <v/>
      </c>
    </row>
    <row r="423" spans="12:12" x14ac:dyDescent="0.2">
      <c r="L423" t="str">
        <f t="shared" si="7"/>
        <v/>
      </c>
    </row>
    <row r="424" spans="12:12" x14ac:dyDescent="0.2">
      <c r="L424" t="str">
        <f t="shared" si="7"/>
        <v/>
      </c>
    </row>
    <row r="425" spans="12:12" x14ac:dyDescent="0.2">
      <c r="L425" t="str">
        <f t="shared" si="7"/>
        <v/>
      </c>
    </row>
    <row r="426" spans="12:12" x14ac:dyDescent="0.2">
      <c r="L426" t="str">
        <f t="shared" si="7"/>
        <v/>
      </c>
    </row>
    <row r="427" spans="12:12" x14ac:dyDescent="0.2">
      <c r="L427" t="str">
        <f t="shared" si="7"/>
        <v/>
      </c>
    </row>
    <row r="428" spans="12:12" x14ac:dyDescent="0.2">
      <c r="L428" t="str">
        <f t="shared" si="7"/>
        <v/>
      </c>
    </row>
    <row r="429" spans="12:12" x14ac:dyDescent="0.2">
      <c r="L429" t="str">
        <f t="shared" si="7"/>
        <v/>
      </c>
    </row>
    <row r="430" spans="12:12" x14ac:dyDescent="0.2">
      <c r="L430" t="str">
        <f t="shared" si="7"/>
        <v/>
      </c>
    </row>
    <row r="431" spans="12:12" x14ac:dyDescent="0.2">
      <c r="L431" t="str">
        <f t="shared" si="7"/>
        <v/>
      </c>
    </row>
    <row r="432" spans="12:12" x14ac:dyDescent="0.2">
      <c r="L432" t="str">
        <f t="shared" si="7"/>
        <v/>
      </c>
    </row>
    <row r="433" spans="12:12" x14ac:dyDescent="0.2">
      <c r="L433" t="str">
        <f t="shared" si="7"/>
        <v/>
      </c>
    </row>
    <row r="434" spans="12:12" x14ac:dyDescent="0.2">
      <c r="L434" t="str">
        <f t="shared" si="7"/>
        <v/>
      </c>
    </row>
    <row r="435" spans="12:12" x14ac:dyDescent="0.2">
      <c r="L435" t="str">
        <f t="shared" si="7"/>
        <v/>
      </c>
    </row>
    <row r="436" spans="12:12" x14ac:dyDescent="0.2">
      <c r="L436" t="str">
        <f t="shared" si="7"/>
        <v/>
      </c>
    </row>
    <row r="437" spans="12:12" x14ac:dyDescent="0.2">
      <c r="L437" t="str">
        <f t="shared" si="7"/>
        <v/>
      </c>
    </row>
    <row r="438" spans="12:12" x14ac:dyDescent="0.2">
      <c r="L438" t="str">
        <f t="shared" si="7"/>
        <v/>
      </c>
    </row>
    <row r="439" spans="12:12" x14ac:dyDescent="0.2">
      <c r="L439" t="str">
        <f t="shared" si="7"/>
        <v/>
      </c>
    </row>
    <row r="440" spans="12:12" x14ac:dyDescent="0.2">
      <c r="L440" t="str">
        <f t="shared" si="7"/>
        <v/>
      </c>
    </row>
    <row r="441" spans="12:12" x14ac:dyDescent="0.2">
      <c r="L441" t="str">
        <f t="shared" si="7"/>
        <v/>
      </c>
    </row>
    <row r="442" spans="12:12" x14ac:dyDescent="0.2">
      <c r="L442" t="str">
        <f t="shared" si="7"/>
        <v/>
      </c>
    </row>
    <row r="443" spans="12:12" x14ac:dyDescent="0.2">
      <c r="L443" t="str">
        <f t="shared" si="7"/>
        <v/>
      </c>
    </row>
    <row r="444" spans="12:12" x14ac:dyDescent="0.2">
      <c r="L444" t="str">
        <f t="shared" si="7"/>
        <v/>
      </c>
    </row>
    <row r="445" spans="12:12" x14ac:dyDescent="0.2">
      <c r="L445" t="str">
        <f t="shared" si="7"/>
        <v/>
      </c>
    </row>
    <row r="446" spans="12:12" x14ac:dyDescent="0.2">
      <c r="L446" t="str">
        <f t="shared" si="7"/>
        <v/>
      </c>
    </row>
    <row r="447" spans="12:12" x14ac:dyDescent="0.2">
      <c r="L447" t="str">
        <f t="shared" si="7"/>
        <v/>
      </c>
    </row>
    <row r="448" spans="12:12" x14ac:dyDescent="0.2">
      <c r="L448" t="str">
        <f t="shared" si="7"/>
        <v/>
      </c>
    </row>
    <row r="449" spans="12:12" x14ac:dyDescent="0.2">
      <c r="L449" t="str">
        <f t="shared" si="7"/>
        <v/>
      </c>
    </row>
    <row r="450" spans="12:12" x14ac:dyDescent="0.2">
      <c r="L450" t="str">
        <f t="shared" si="7"/>
        <v/>
      </c>
    </row>
    <row r="451" spans="12:12" x14ac:dyDescent="0.2">
      <c r="L451" t="str">
        <f t="shared" si="7"/>
        <v/>
      </c>
    </row>
    <row r="452" spans="12:12" x14ac:dyDescent="0.2">
      <c r="L452" t="str">
        <f t="shared" ref="L452:L515" si="8">IF(L451&lt;$I$15,L451+$I$16,"")</f>
        <v/>
      </c>
    </row>
    <row r="453" spans="12:12" x14ac:dyDescent="0.2">
      <c r="L453" t="str">
        <f t="shared" si="8"/>
        <v/>
      </c>
    </row>
    <row r="454" spans="12:12" x14ac:dyDescent="0.2">
      <c r="L454" t="str">
        <f t="shared" si="8"/>
        <v/>
      </c>
    </row>
    <row r="455" spans="12:12" x14ac:dyDescent="0.2">
      <c r="L455" t="str">
        <f t="shared" si="8"/>
        <v/>
      </c>
    </row>
    <row r="456" spans="12:12" x14ac:dyDescent="0.2">
      <c r="L456" t="str">
        <f t="shared" si="8"/>
        <v/>
      </c>
    </row>
    <row r="457" spans="12:12" x14ac:dyDescent="0.2">
      <c r="L457" t="str">
        <f t="shared" si="8"/>
        <v/>
      </c>
    </row>
    <row r="458" spans="12:12" x14ac:dyDescent="0.2">
      <c r="L458" t="str">
        <f t="shared" si="8"/>
        <v/>
      </c>
    </row>
    <row r="459" spans="12:12" x14ac:dyDescent="0.2">
      <c r="L459" t="str">
        <f t="shared" si="8"/>
        <v/>
      </c>
    </row>
    <row r="460" spans="12:12" x14ac:dyDescent="0.2">
      <c r="L460" t="str">
        <f t="shared" si="8"/>
        <v/>
      </c>
    </row>
    <row r="461" spans="12:12" x14ac:dyDescent="0.2">
      <c r="L461" t="str">
        <f t="shared" si="8"/>
        <v/>
      </c>
    </row>
    <row r="462" spans="12:12" x14ac:dyDescent="0.2">
      <c r="L462" t="str">
        <f t="shared" si="8"/>
        <v/>
      </c>
    </row>
    <row r="463" spans="12:12" x14ac:dyDescent="0.2">
      <c r="L463" t="str">
        <f t="shared" si="8"/>
        <v/>
      </c>
    </row>
    <row r="464" spans="12:12" x14ac:dyDescent="0.2">
      <c r="L464" t="str">
        <f t="shared" si="8"/>
        <v/>
      </c>
    </row>
    <row r="465" spans="12:12" x14ac:dyDescent="0.2">
      <c r="L465" t="str">
        <f t="shared" si="8"/>
        <v/>
      </c>
    </row>
    <row r="466" spans="12:12" x14ac:dyDescent="0.2">
      <c r="L466" t="str">
        <f t="shared" si="8"/>
        <v/>
      </c>
    </row>
    <row r="467" spans="12:12" x14ac:dyDescent="0.2">
      <c r="L467" t="str">
        <f t="shared" si="8"/>
        <v/>
      </c>
    </row>
    <row r="468" spans="12:12" x14ac:dyDescent="0.2">
      <c r="L468" t="str">
        <f t="shared" si="8"/>
        <v/>
      </c>
    </row>
    <row r="469" spans="12:12" x14ac:dyDescent="0.2">
      <c r="L469" t="str">
        <f t="shared" si="8"/>
        <v/>
      </c>
    </row>
    <row r="470" spans="12:12" x14ac:dyDescent="0.2">
      <c r="L470" t="str">
        <f t="shared" si="8"/>
        <v/>
      </c>
    </row>
    <row r="471" spans="12:12" x14ac:dyDescent="0.2">
      <c r="L471" t="str">
        <f t="shared" si="8"/>
        <v/>
      </c>
    </row>
    <row r="472" spans="12:12" x14ac:dyDescent="0.2">
      <c r="L472" t="str">
        <f t="shared" si="8"/>
        <v/>
      </c>
    </row>
    <row r="473" spans="12:12" x14ac:dyDescent="0.2">
      <c r="L473" t="str">
        <f t="shared" si="8"/>
        <v/>
      </c>
    </row>
    <row r="474" spans="12:12" x14ac:dyDescent="0.2">
      <c r="L474" t="str">
        <f t="shared" si="8"/>
        <v/>
      </c>
    </row>
    <row r="475" spans="12:12" x14ac:dyDescent="0.2">
      <c r="L475" t="str">
        <f t="shared" si="8"/>
        <v/>
      </c>
    </row>
    <row r="476" spans="12:12" x14ac:dyDescent="0.2">
      <c r="L476" t="str">
        <f t="shared" si="8"/>
        <v/>
      </c>
    </row>
    <row r="477" spans="12:12" x14ac:dyDescent="0.2">
      <c r="L477" t="str">
        <f t="shared" si="8"/>
        <v/>
      </c>
    </row>
    <row r="478" spans="12:12" x14ac:dyDescent="0.2">
      <c r="L478" t="str">
        <f t="shared" si="8"/>
        <v/>
      </c>
    </row>
    <row r="479" spans="12:12" x14ac:dyDescent="0.2">
      <c r="L479" t="str">
        <f t="shared" si="8"/>
        <v/>
      </c>
    </row>
    <row r="480" spans="12:12" x14ac:dyDescent="0.2">
      <c r="L480" t="str">
        <f t="shared" si="8"/>
        <v/>
      </c>
    </row>
    <row r="481" spans="12:12" x14ac:dyDescent="0.2">
      <c r="L481" t="str">
        <f t="shared" si="8"/>
        <v/>
      </c>
    </row>
    <row r="482" spans="12:12" x14ac:dyDescent="0.2">
      <c r="L482" t="str">
        <f t="shared" si="8"/>
        <v/>
      </c>
    </row>
    <row r="483" spans="12:12" x14ac:dyDescent="0.2">
      <c r="L483" t="str">
        <f t="shared" si="8"/>
        <v/>
      </c>
    </row>
    <row r="484" spans="12:12" x14ac:dyDescent="0.2">
      <c r="L484" t="str">
        <f t="shared" si="8"/>
        <v/>
      </c>
    </row>
    <row r="485" spans="12:12" x14ac:dyDescent="0.2">
      <c r="L485" t="str">
        <f t="shared" si="8"/>
        <v/>
      </c>
    </row>
    <row r="486" spans="12:12" x14ac:dyDescent="0.2">
      <c r="L486" t="str">
        <f t="shared" si="8"/>
        <v/>
      </c>
    </row>
    <row r="487" spans="12:12" x14ac:dyDescent="0.2">
      <c r="L487" t="str">
        <f t="shared" si="8"/>
        <v/>
      </c>
    </row>
    <row r="488" spans="12:12" x14ac:dyDescent="0.2">
      <c r="L488" t="str">
        <f t="shared" si="8"/>
        <v/>
      </c>
    </row>
    <row r="489" spans="12:12" x14ac:dyDescent="0.2">
      <c r="L489" t="str">
        <f t="shared" si="8"/>
        <v/>
      </c>
    </row>
    <row r="490" spans="12:12" x14ac:dyDescent="0.2">
      <c r="L490" t="str">
        <f t="shared" si="8"/>
        <v/>
      </c>
    </row>
    <row r="491" spans="12:12" x14ac:dyDescent="0.2">
      <c r="L491" t="str">
        <f t="shared" si="8"/>
        <v/>
      </c>
    </row>
    <row r="492" spans="12:12" x14ac:dyDescent="0.2">
      <c r="L492" t="str">
        <f t="shared" si="8"/>
        <v/>
      </c>
    </row>
    <row r="493" spans="12:12" x14ac:dyDescent="0.2">
      <c r="L493" t="str">
        <f t="shared" si="8"/>
        <v/>
      </c>
    </row>
    <row r="494" spans="12:12" x14ac:dyDescent="0.2">
      <c r="L494" t="str">
        <f t="shared" si="8"/>
        <v/>
      </c>
    </row>
    <row r="495" spans="12:12" x14ac:dyDescent="0.2">
      <c r="L495" t="str">
        <f t="shared" si="8"/>
        <v/>
      </c>
    </row>
    <row r="496" spans="12:12" x14ac:dyDescent="0.2">
      <c r="L496" t="str">
        <f t="shared" si="8"/>
        <v/>
      </c>
    </row>
    <row r="497" spans="12:12" x14ac:dyDescent="0.2">
      <c r="L497" t="str">
        <f t="shared" si="8"/>
        <v/>
      </c>
    </row>
    <row r="498" spans="12:12" x14ac:dyDescent="0.2">
      <c r="L498" t="str">
        <f t="shared" si="8"/>
        <v/>
      </c>
    </row>
    <row r="499" spans="12:12" x14ac:dyDescent="0.2">
      <c r="L499" t="str">
        <f t="shared" si="8"/>
        <v/>
      </c>
    </row>
    <row r="500" spans="12:12" x14ac:dyDescent="0.2">
      <c r="L500" t="str">
        <f t="shared" si="8"/>
        <v/>
      </c>
    </row>
    <row r="501" spans="12:12" x14ac:dyDescent="0.2">
      <c r="L501" t="str">
        <f t="shared" si="8"/>
        <v/>
      </c>
    </row>
    <row r="502" spans="12:12" x14ac:dyDescent="0.2">
      <c r="L502" t="str">
        <f t="shared" si="8"/>
        <v/>
      </c>
    </row>
    <row r="503" spans="12:12" x14ac:dyDescent="0.2">
      <c r="L503" t="str">
        <f t="shared" si="8"/>
        <v/>
      </c>
    </row>
    <row r="504" spans="12:12" x14ac:dyDescent="0.2">
      <c r="L504" t="str">
        <f t="shared" si="8"/>
        <v/>
      </c>
    </row>
    <row r="505" spans="12:12" x14ac:dyDescent="0.2">
      <c r="L505" t="str">
        <f t="shared" si="8"/>
        <v/>
      </c>
    </row>
    <row r="506" spans="12:12" x14ac:dyDescent="0.2">
      <c r="L506" t="str">
        <f t="shared" si="8"/>
        <v/>
      </c>
    </row>
    <row r="507" spans="12:12" x14ac:dyDescent="0.2">
      <c r="L507" t="str">
        <f t="shared" si="8"/>
        <v/>
      </c>
    </row>
    <row r="508" spans="12:12" x14ac:dyDescent="0.2">
      <c r="L508" t="str">
        <f t="shared" si="8"/>
        <v/>
      </c>
    </row>
    <row r="509" spans="12:12" x14ac:dyDescent="0.2">
      <c r="L509" t="str">
        <f t="shared" si="8"/>
        <v/>
      </c>
    </row>
    <row r="510" spans="12:12" x14ac:dyDescent="0.2">
      <c r="L510" t="str">
        <f t="shared" si="8"/>
        <v/>
      </c>
    </row>
    <row r="511" spans="12:12" x14ac:dyDescent="0.2">
      <c r="L511" t="str">
        <f t="shared" si="8"/>
        <v/>
      </c>
    </row>
    <row r="512" spans="12:12" x14ac:dyDescent="0.2">
      <c r="L512" t="str">
        <f t="shared" si="8"/>
        <v/>
      </c>
    </row>
    <row r="513" spans="12:12" x14ac:dyDescent="0.2">
      <c r="L513" t="str">
        <f t="shared" si="8"/>
        <v/>
      </c>
    </row>
    <row r="514" spans="12:12" x14ac:dyDescent="0.2">
      <c r="L514" t="str">
        <f t="shared" si="8"/>
        <v/>
      </c>
    </row>
    <row r="515" spans="12:12" x14ac:dyDescent="0.2">
      <c r="L515" t="str">
        <f t="shared" si="8"/>
        <v/>
      </c>
    </row>
    <row r="516" spans="12:12" x14ac:dyDescent="0.2">
      <c r="L516" t="str">
        <f t="shared" ref="L516:L579" si="9">IF(L515&lt;$I$15,L515+$I$16,"")</f>
        <v/>
      </c>
    </row>
    <row r="517" spans="12:12" x14ac:dyDescent="0.2">
      <c r="L517" t="str">
        <f t="shared" si="9"/>
        <v/>
      </c>
    </row>
    <row r="518" spans="12:12" x14ac:dyDescent="0.2">
      <c r="L518" t="str">
        <f t="shared" si="9"/>
        <v/>
      </c>
    </row>
    <row r="519" spans="12:12" x14ac:dyDescent="0.2">
      <c r="L519" t="str">
        <f t="shared" si="9"/>
        <v/>
      </c>
    </row>
    <row r="520" spans="12:12" x14ac:dyDescent="0.2">
      <c r="L520" t="str">
        <f t="shared" si="9"/>
        <v/>
      </c>
    </row>
    <row r="521" spans="12:12" x14ac:dyDescent="0.2">
      <c r="L521" t="str">
        <f t="shared" si="9"/>
        <v/>
      </c>
    </row>
    <row r="522" spans="12:12" x14ac:dyDescent="0.2">
      <c r="L522" t="str">
        <f t="shared" si="9"/>
        <v/>
      </c>
    </row>
    <row r="523" spans="12:12" x14ac:dyDescent="0.2">
      <c r="L523" t="str">
        <f t="shared" si="9"/>
        <v/>
      </c>
    </row>
    <row r="524" spans="12:12" x14ac:dyDescent="0.2">
      <c r="L524" t="str">
        <f t="shared" si="9"/>
        <v/>
      </c>
    </row>
    <row r="525" spans="12:12" x14ac:dyDescent="0.2">
      <c r="L525" t="str">
        <f t="shared" si="9"/>
        <v/>
      </c>
    </row>
    <row r="526" spans="12:12" x14ac:dyDescent="0.2">
      <c r="L526" t="str">
        <f t="shared" si="9"/>
        <v/>
      </c>
    </row>
    <row r="527" spans="12:12" x14ac:dyDescent="0.2">
      <c r="L527" t="str">
        <f t="shared" si="9"/>
        <v/>
      </c>
    </row>
    <row r="528" spans="12:12" x14ac:dyDescent="0.2">
      <c r="L528" t="str">
        <f t="shared" si="9"/>
        <v/>
      </c>
    </row>
    <row r="529" spans="12:12" x14ac:dyDescent="0.2">
      <c r="L529" t="str">
        <f t="shared" si="9"/>
        <v/>
      </c>
    </row>
    <row r="530" spans="12:12" x14ac:dyDescent="0.2">
      <c r="L530" t="str">
        <f t="shared" si="9"/>
        <v/>
      </c>
    </row>
    <row r="531" spans="12:12" x14ac:dyDescent="0.2">
      <c r="L531" t="str">
        <f t="shared" si="9"/>
        <v/>
      </c>
    </row>
    <row r="532" spans="12:12" x14ac:dyDescent="0.2">
      <c r="L532" t="str">
        <f t="shared" si="9"/>
        <v/>
      </c>
    </row>
    <row r="533" spans="12:12" x14ac:dyDescent="0.2">
      <c r="L533" t="str">
        <f t="shared" si="9"/>
        <v/>
      </c>
    </row>
    <row r="534" spans="12:12" x14ac:dyDescent="0.2">
      <c r="L534" t="str">
        <f t="shared" si="9"/>
        <v/>
      </c>
    </row>
    <row r="535" spans="12:12" x14ac:dyDescent="0.2">
      <c r="L535" t="str">
        <f t="shared" si="9"/>
        <v/>
      </c>
    </row>
    <row r="536" spans="12:12" x14ac:dyDescent="0.2">
      <c r="L536" t="str">
        <f t="shared" si="9"/>
        <v/>
      </c>
    </row>
    <row r="537" spans="12:12" x14ac:dyDescent="0.2">
      <c r="L537" t="str">
        <f t="shared" si="9"/>
        <v/>
      </c>
    </row>
    <row r="538" spans="12:12" x14ac:dyDescent="0.2">
      <c r="L538" t="str">
        <f t="shared" si="9"/>
        <v/>
      </c>
    </row>
    <row r="539" spans="12:12" x14ac:dyDescent="0.2">
      <c r="L539" t="str">
        <f t="shared" si="9"/>
        <v/>
      </c>
    </row>
    <row r="540" spans="12:12" x14ac:dyDescent="0.2">
      <c r="L540" t="str">
        <f t="shared" si="9"/>
        <v/>
      </c>
    </row>
    <row r="541" spans="12:12" x14ac:dyDescent="0.2">
      <c r="L541" t="str">
        <f t="shared" si="9"/>
        <v/>
      </c>
    </row>
    <row r="542" spans="12:12" x14ac:dyDescent="0.2">
      <c r="L542" t="str">
        <f t="shared" si="9"/>
        <v/>
      </c>
    </row>
    <row r="543" spans="12:12" x14ac:dyDescent="0.2">
      <c r="L543" t="str">
        <f t="shared" si="9"/>
        <v/>
      </c>
    </row>
    <row r="544" spans="12:12" x14ac:dyDescent="0.2">
      <c r="L544" t="str">
        <f t="shared" si="9"/>
        <v/>
      </c>
    </row>
    <row r="545" spans="12:12" x14ac:dyDescent="0.2">
      <c r="L545" t="str">
        <f t="shared" si="9"/>
        <v/>
      </c>
    </row>
    <row r="546" spans="12:12" x14ac:dyDescent="0.2">
      <c r="L546" t="str">
        <f t="shared" si="9"/>
        <v/>
      </c>
    </row>
    <row r="547" spans="12:12" x14ac:dyDescent="0.2">
      <c r="L547" t="str">
        <f t="shared" si="9"/>
        <v/>
      </c>
    </row>
    <row r="548" spans="12:12" x14ac:dyDescent="0.2">
      <c r="L548" t="str">
        <f t="shared" si="9"/>
        <v/>
      </c>
    </row>
    <row r="549" spans="12:12" x14ac:dyDescent="0.2">
      <c r="L549" t="str">
        <f t="shared" si="9"/>
        <v/>
      </c>
    </row>
    <row r="550" spans="12:12" x14ac:dyDescent="0.2">
      <c r="L550" t="str">
        <f t="shared" si="9"/>
        <v/>
      </c>
    </row>
    <row r="551" spans="12:12" x14ac:dyDescent="0.2">
      <c r="L551" t="str">
        <f t="shared" si="9"/>
        <v/>
      </c>
    </row>
    <row r="552" spans="12:12" x14ac:dyDescent="0.2">
      <c r="L552" t="str">
        <f t="shared" si="9"/>
        <v/>
      </c>
    </row>
    <row r="553" spans="12:12" x14ac:dyDescent="0.2">
      <c r="L553" t="str">
        <f t="shared" si="9"/>
        <v/>
      </c>
    </row>
    <row r="554" spans="12:12" x14ac:dyDescent="0.2">
      <c r="L554" t="str">
        <f t="shared" si="9"/>
        <v/>
      </c>
    </row>
    <row r="555" spans="12:12" x14ac:dyDescent="0.2">
      <c r="L555" t="str">
        <f t="shared" si="9"/>
        <v/>
      </c>
    </row>
    <row r="556" spans="12:12" x14ac:dyDescent="0.2">
      <c r="L556" t="str">
        <f t="shared" si="9"/>
        <v/>
      </c>
    </row>
    <row r="557" spans="12:12" x14ac:dyDescent="0.2">
      <c r="L557" t="str">
        <f t="shared" si="9"/>
        <v/>
      </c>
    </row>
    <row r="558" spans="12:12" x14ac:dyDescent="0.2">
      <c r="L558" t="str">
        <f t="shared" si="9"/>
        <v/>
      </c>
    </row>
    <row r="559" spans="12:12" x14ac:dyDescent="0.2">
      <c r="L559" t="str">
        <f t="shared" si="9"/>
        <v/>
      </c>
    </row>
    <row r="560" spans="12:12" x14ac:dyDescent="0.2">
      <c r="L560" t="str">
        <f t="shared" si="9"/>
        <v/>
      </c>
    </row>
    <row r="561" spans="12:12" x14ac:dyDescent="0.2">
      <c r="L561" t="str">
        <f t="shared" si="9"/>
        <v/>
      </c>
    </row>
    <row r="562" spans="12:12" x14ac:dyDescent="0.2">
      <c r="L562" t="str">
        <f t="shared" si="9"/>
        <v/>
      </c>
    </row>
    <row r="563" spans="12:12" x14ac:dyDescent="0.2">
      <c r="L563" t="str">
        <f t="shared" si="9"/>
        <v/>
      </c>
    </row>
    <row r="564" spans="12:12" x14ac:dyDescent="0.2">
      <c r="L564" t="str">
        <f t="shared" si="9"/>
        <v/>
      </c>
    </row>
    <row r="565" spans="12:12" x14ac:dyDescent="0.2">
      <c r="L565" t="str">
        <f t="shared" si="9"/>
        <v/>
      </c>
    </row>
    <row r="566" spans="12:12" x14ac:dyDescent="0.2">
      <c r="L566" t="str">
        <f t="shared" si="9"/>
        <v/>
      </c>
    </row>
    <row r="567" spans="12:12" x14ac:dyDescent="0.2">
      <c r="L567" t="str">
        <f t="shared" si="9"/>
        <v/>
      </c>
    </row>
    <row r="568" spans="12:12" x14ac:dyDescent="0.2">
      <c r="L568" t="str">
        <f t="shared" si="9"/>
        <v/>
      </c>
    </row>
    <row r="569" spans="12:12" x14ac:dyDescent="0.2">
      <c r="L569" t="str">
        <f t="shared" si="9"/>
        <v/>
      </c>
    </row>
    <row r="570" spans="12:12" x14ac:dyDescent="0.2">
      <c r="L570" t="str">
        <f t="shared" si="9"/>
        <v/>
      </c>
    </row>
    <row r="571" spans="12:12" x14ac:dyDescent="0.2">
      <c r="L571" t="str">
        <f t="shared" si="9"/>
        <v/>
      </c>
    </row>
    <row r="572" spans="12:12" x14ac:dyDescent="0.2">
      <c r="L572" t="str">
        <f t="shared" si="9"/>
        <v/>
      </c>
    </row>
    <row r="573" spans="12:12" x14ac:dyDescent="0.2">
      <c r="L573" t="str">
        <f t="shared" si="9"/>
        <v/>
      </c>
    </row>
    <row r="574" spans="12:12" x14ac:dyDescent="0.2">
      <c r="L574" t="str">
        <f t="shared" si="9"/>
        <v/>
      </c>
    </row>
    <row r="575" spans="12:12" x14ac:dyDescent="0.2">
      <c r="L575" t="str">
        <f t="shared" si="9"/>
        <v/>
      </c>
    </row>
    <row r="576" spans="12:12" x14ac:dyDescent="0.2">
      <c r="L576" t="str">
        <f t="shared" si="9"/>
        <v/>
      </c>
    </row>
    <row r="577" spans="12:12" x14ac:dyDescent="0.2">
      <c r="L577" t="str">
        <f t="shared" si="9"/>
        <v/>
      </c>
    </row>
    <row r="578" spans="12:12" x14ac:dyDescent="0.2">
      <c r="L578" t="str">
        <f t="shared" si="9"/>
        <v/>
      </c>
    </row>
    <row r="579" spans="12:12" x14ac:dyDescent="0.2">
      <c r="L579" t="str">
        <f t="shared" si="9"/>
        <v/>
      </c>
    </row>
    <row r="580" spans="12:12" x14ac:dyDescent="0.2">
      <c r="L580" t="str">
        <f t="shared" ref="L580:L643" si="10">IF(L579&lt;$I$15,L579+$I$16,"")</f>
        <v/>
      </c>
    </row>
    <row r="581" spans="12:12" x14ac:dyDescent="0.2">
      <c r="L581" t="str">
        <f t="shared" si="10"/>
        <v/>
      </c>
    </row>
    <row r="582" spans="12:12" x14ac:dyDescent="0.2">
      <c r="L582" t="str">
        <f t="shared" si="10"/>
        <v/>
      </c>
    </row>
    <row r="583" spans="12:12" x14ac:dyDescent="0.2">
      <c r="L583" t="str">
        <f t="shared" si="10"/>
        <v/>
      </c>
    </row>
    <row r="584" spans="12:12" x14ac:dyDescent="0.2">
      <c r="L584" t="str">
        <f t="shared" si="10"/>
        <v/>
      </c>
    </row>
    <row r="585" spans="12:12" x14ac:dyDescent="0.2">
      <c r="L585" t="str">
        <f t="shared" si="10"/>
        <v/>
      </c>
    </row>
    <row r="586" spans="12:12" x14ac:dyDescent="0.2">
      <c r="L586" t="str">
        <f t="shared" si="10"/>
        <v/>
      </c>
    </row>
    <row r="587" spans="12:12" x14ac:dyDescent="0.2">
      <c r="L587" t="str">
        <f t="shared" si="10"/>
        <v/>
      </c>
    </row>
    <row r="588" spans="12:12" x14ac:dyDescent="0.2">
      <c r="L588" t="str">
        <f t="shared" si="10"/>
        <v/>
      </c>
    </row>
    <row r="589" spans="12:12" x14ac:dyDescent="0.2">
      <c r="L589" t="str">
        <f t="shared" si="10"/>
        <v/>
      </c>
    </row>
    <row r="590" spans="12:12" x14ac:dyDescent="0.2">
      <c r="L590" t="str">
        <f t="shared" si="10"/>
        <v/>
      </c>
    </row>
    <row r="591" spans="12:12" x14ac:dyDescent="0.2">
      <c r="L591" t="str">
        <f t="shared" si="10"/>
        <v/>
      </c>
    </row>
    <row r="592" spans="12:12" x14ac:dyDescent="0.2">
      <c r="L592" t="str">
        <f t="shared" si="10"/>
        <v/>
      </c>
    </row>
    <row r="593" spans="12:12" x14ac:dyDescent="0.2">
      <c r="L593" t="str">
        <f t="shared" si="10"/>
        <v/>
      </c>
    </row>
    <row r="594" spans="12:12" x14ac:dyDescent="0.2">
      <c r="L594" t="str">
        <f t="shared" si="10"/>
        <v/>
      </c>
    </row>
    <row r="595" spans="12:12" x14ac:dyDescent="0.2">
      <c r="L595" t="str">
        <f t="shared" si="10"/>
        <v/>
      </c>
    </row>
    <row r="596" spans="12:12" x14ac:dyDescent="0.2">
      <c r="L596" t="str">
        <f t="shared" si="10"/>
        <v/>
      </c>
    </row>
    <row r="597" spans="12:12" x14ac:dyDescent="0.2">
      <c r="L597" t="str">
        <f t="shared" si="10"/>
        <v/>
      </c>
    </row>
    <row r="598" spans="12:12" x14ac:dyDescent="0.2">
      <c r="L598" t="str">
        <f t="shared" si="10"/>
        <v/>
      </c>
    </row>
    <row r="599" spans="12:12" x14ac:dyDescent="0.2">
      <c r="L599" t="str">
        <f t="shared" si="10"/>
        <v/>
      </c>
    </row>
    <row r="600" spans="12:12" x14ac:dyDescent="0.2">
      <c r="L600" t="str">
        <f t="shared" si="10"/>
        <v/>
      </c>
    </row>
    <row r="601" spans="12:12" x14ac:dyDescent="0.2">
      <c r="L601" t="str">
        <f t="shared" si="10"/>
        <v/>
      </c>
    </row>
    <row r="602" spans="12:12" x14ac:dyDescent="0.2">
      <c r="L602" t="str">
        <f t="shared" si="10"/>
        <v/>
      </c>
    </row>
    <row r="603" spans="12:12" x14ac:dyDescent="0.2">
      <c r="L603" t="str">
        <f t="shared" si="10"/>
        <v/>
      </c>
    </row>
    <row r="604" spans="12:12" x14ac:dyDescent="0.2">
      <c r="L604" t="str">
        <f t="shared" si="10"/>
        <v/>
      </c>
    </row>
    <row r="605" spans="12:12" x14ac:dyDescent="0.2">
      <c r="L605" t="str">
        <f t="shared" si="10"/>
        <v/>
      </c>
    </row>
    <row r="606" spans="12:12" x14ac:dyDescent="0.2">
      <c r="L606" t="str">
        <f t="shared" si="10"/>
        <v/>
      </c>
    </row>
    <row r="607" spans="12:12" x14ac:dyDescent="0.2">
      <c r="L607" t="str">
        <f t="shared" si="10"/>
        <v/>
      </c>
    </row>
    <row r="608" spans="12:12" x14ac:dyDescent="0.2">
      <c r="L608" t="str">
        <f t="shared" si="10"/>
        <v/>
      </c>
    </row>
    <row r="609" spans="12:12" x14ac:dyDescent="0.2">
      <c r="L609" t="str">
        <f t="shared" si="10"/>
        <v/>
      </c>
    </row>
    <row r="610" spans="12:12" x14ac:dyDescent="0.2">
      <c r="L610" t="str">
        <f t="shared" si="10"/>
        <v/>
      </c>
    </row>
    <row r="611" spans="12:12" x14ac:dyDescent="0.2">
      <c r="L611" t="str">
        <f t="shared" si="10"/>
        <v/>
      </c>
    </row>
    <row r="612" spans="12:12" x14ac:dyDescent="0.2">
      <c r="L612" t="str">
        <f t="shared" si="10"/>
        <v/>
      </c>
    </row>
    <row r="613" spans="12:12" x14ac:dyDescent="0.2">
      <c r="L613" t="str">
        <f t="shared" si="10"/>
        <v/>
      </c>
    </row>
    <row r="614" spans="12:12" x14ac:dyDescent="0.2">
      <c r="L614" t="str">
        <f t="shared" si="10"/>
        <v/>
      </c>
    </row>
    <row r="615" spans="12:12" x14ac:dyDescent="0.2">
      <c r="L615" t="str">
        <f t="shared" si="10"/>
        <v/>
      </c>
    </row>
    <row r="616" spans="12:12" x14ac:dyDescent="0.2">
      <c r="L616" t="str">
        <f t="shared" si="10"/>
        <v/>
      </c>
    </row>
    <row r="617" spans="12:12" x14ac:dyDescent="0.2">
      <c r="L617" t="str">
        <f t="shared" si="10"/>
        <v/>
      </c>
    </row>
    <row r="618" spans="12:12" x14ac:dyDescent="0.2">
      <c r="L618" t="str">
        <f t="shared" si="10"/>
        <v/>
      </c>
    </row>
    <row r="619" spans="12:12" x14ac:dyDescent="0.2">
      <c r="L619" t="str">
        <f t="shared" si="10"/>
        <v/>
      </c>
    </row>
    <row r="620" spans="12:12" x14ac:dyDescent="0.2">
      <c r="L620" t="str">
        <f t="shared" si="10"/>
        <v/>
      </c>
    </row>
    <row r="621" spans="12:12" x14ac:dyDescent="0.2">
      <c r="L621" t="str">
        <f t="shared" si="10"/>
        <v/>
      </c>
    </row>
    <row r="622" spans="12:12" x14ac:dyDescent="0.2">
      <c r="L622" t="str">
        <f t="shared" si="10"/>
        <v/>
      </c>
    </row>
    <row r="623" spans="12:12" x14ac:dyDescent="0.2">
      <c r="L623" t="str">
        <f t="shared" si="10"/>
        <v/>
      </c>
    </row>
    <row r="624" spans="12:12" x14ac:dyDescent="0.2">
      <c r="L624" t="str">
        <f t="shared" si="10"/>
        <v/>
      </c>
    </row>
    <row r="625" spans="12:12" x14ac:dyDescent="0.2">
      <c r="L625" t="str">
        <f t="shared" si="10"/>
        <v/>
      </c>
    </row>
    <row r="626" spans="12:12" x14ac:dyDescent="0.2">
      <c r="L626" t="str">
        <f t="shared" si="10"/>
        <v/>
      </c>
    </row>
    <row r="627" spans="12:12" x14ac:dyDescent="0.2">
      <c r="L627" t="str">
        <f t="shared" si="10"/>
        <v/>
      </c>
    </row>
    <row r="628" spans="12:12" x14ac:dyDescent="0.2">
      <c r="L628" t="str">
        <f t="shared" si="10"/>
        <v/>
      </c>
    </row>
    <row r="629" spans="12:12" x14ac:dyDescent="0.2">
      <c r="L629" t="str">
        <f t="shared" si="10"/>
        <v/>
      </c>
    </row>
    <row r="630" spans="12:12" x14ac:dyDescent="0.2">
      <c r="L630" t="str">
        <f t="shared" si="10"/>
        <v/>
      </c>
    </row>
    <row r="631" spans="12:12" x14ac:dyDescent="0.2">
      <c r="L631" t="str">
        <f t="shared" si="10"/>
        <v/>
      </c>
    </row>
    <row r="632" spans="12:12" x14ac:dyDescent="0.2">
      <c r="L632" t="str">
        <f t="shared" si="10"/>
        <v/>
      </c>
    </row>
    <row r="633" spans="12:12" x14ac:dyDescent="0.2">
      <c r="L633" t="str">
        <f t="shared" si="10"/>
        <v/>
      </c>
    </row>
    <row r="634" spans="12:12" x14ac:dyDescent="0.2">
      <c r="L634" t="str">
        <f t="shared" si="10"/>
        <v/>
      </c>
    </row>
    <row r="635" spans="12:12" x14ac:dyDescent="0.2">
      <c r="L635" t="str">
        <f t="shared" si="10"/>
        <v/>
      </c>
    </row>
    <row r="636" spans="12:12" x14ac:dyDescent="0.2">
      <c r="L636" t="str">
        <f t="shared" si="10"/>
        <v/>
      </c>
    </row>
    <row r="637" spans="12:12" x14ac:dyDescent="0.2">
      <c r="L637" t="str">
        <f t="shared" si="10"/>
        <v/>
      </c>
    </row>
    <row r="638" spans="12:12" x14ac:dyDescent="0.2">
      <c r="L638" t="str">
        <f t="shared" si="10"/>
        <v/>
      </c>
    </row>
    <row r="639" spans="12:12" x14ac:dyDescent="0.2">
      <c r="L639" t="str">
        <f t="shared" si="10"/>
        <v/>
      </c>
    </row>
    <row r="640" spans="12:12" x14ac:dyDescent="0.2">
      <c r="L640" t="str">
        <f t="shared" si="10"/>
        <v/>
      </c>
    </row>
    <row r="641" spans="12:12" x14ac:dyDescent="0.2">
      <c r="L641" t="str">
        <f t="shared" si="10"/>
        <v/>
      </c>
    </row>
    <row r="642" spans="12:12" x14ac:dyDescent="0.2">
      <c r="L642" t="str">
        <f t="shared" si="10"/>
        <v/>
      </c>
    </row>
    <row r="643" spans="12:12" x14ac:dyDescent="0.2">
      <c r="L643" t="str">
        <f t="shared" si="10"/>
        <v/>
      </c>
    </row>
    <row r="644" spans="12:12" x14ac:dyDescent="0.2">
      <c r="L644" t="str">
        <f t="shared" ref="L644:L707" si="11">IF(L643&lt;$I$15,L643+$I$16,"")</f>
        <v/>
      </c>
    </row>
    <row r="645" spans="12:12" x14ac:dyDescent="0.2">
      <c r="L645" t="str">
        <f t="shared" si="11"/>
        <v/>
      </c>
    </row>
    <row r="646" spans="12:12" x14ac:dyDescent="0.2">
      <c r="L646" t="str">
        <f t="shared" si="11"/>
        <v/>
      </c>
    </row>
    <row r="647" spans="12:12" x14ac:dyDescent="0.2">
      <c r="L647" t="str">
        <f t="shared" si="11"/>
        <v/>
      </c>
    </row>
    <row r="648" spans="12:12" x14ac:dyDescent="0.2">
      <c r="L648" t="str">
        <f t="shared" si="11"/>
        <v/>
      </c>
    </row>
    <row r="649" spans="12:12" x14ac:dyDescent="0.2">
      <c r="L649" t="str">
        <f t="shared" si="11"/>
        <v/>
      </c>
    </row>
    <row r="650" spans="12:12" x14ac:dyDescent="0.2">
      <c r="L650" t="str">
        <f t="shared" si="11"/>
        <v/>
      </c>
    </row>
    <row r="651" spans="12:12" x14ac:dyDescent="0.2">
      <c r="L651" t="str">
        <f t="shared" si="11"/>
        <v/>
      </c>
    </row>
    <row r="652" spans="12:12" x14ac:dyDescent="0.2">
      <c r="L652" t="str">
        <f t="shared" si="11"/>
        <v/>
      </c>
    </row>
    <row r="653" spans="12:12" x14ac:dyDescent="0.2">
      <c r="L653" t="str">
        <f t="shared" si="11"/>
        <v/>
      </c>
    </row>
    <row r="654" spans="12:12" x14ac:dyDescent="0.2">
      <c r="L654" t="str">
        <f t="shared" si="11"/>
        <v/>
      </c>
    </row>
    <row r="655" spans="12:12" x14ac:dyDescent="0.2">
      <c r="L655" t="str">
        <f t="shared" si="11"/>
        <v/>
      </c>
    </row>
    <row r="656" spans="12:12" x14ac:dyDescent="0.2">
      <c r="L656" t="str">
        <f t="shared" si="11"/>
        <v/>
      </c>
    </row>
    <row r="657" spans="12:12" x14ac:dyDescent="0.2">
      <c r="L657" t="str">
        <f t="shared" si="11"/>
        <v/>
      </c>
    </row>
    <row r="658" spans="12:12" x14ac:dyDescent="0.2">
      <c r="L658" t="str">
        <f t="shared" si="11"/>
        <v/>
      </c>
    </row>
    <row r="659" spans="12:12" x14ac:dyDescent="0.2">
      <c r="L659" t="str">
        <f t="shared" si="11"/>
        <v/>
      </c>
    </row>
    <row r="660" spans="12:12" x14ac:dyDescent="0.2">
      <c r="L660" t="str">
        <f t="shared" si="11"/>
        <v/>
      </c>
    </row>
    <row r="661" spans="12:12" x14ac:dyDescent="0.2">
      <c r="L661" t="str">
        <f t="shared" si="11"/>
        <v/>
      </c>
    </row>
    <row r="662" spans="12:12" x14ac:dyDescent="0.2">
      <c r="L662" t="str">
        <f t="shared" si="11"/>
        <v/>
      </c>
    </row>
    <row r="663" spans="12:12" x14ac:dyDescent="0.2">
      <c r="L663" t="str">
        <f t="shared" si="11"/>
        <v/>
      </c>
    </row>
    <row r="664" spans="12:12" x14ac:dyDescent="0.2">
      <c r="L664" t="str">
        <f t="shared" si="11"/>
        <v/>
      </c>
    </row>
    <row r="665" spans="12:12" x14ac:dyDescent="0.2">
      <c r="L665" t="str">
        <f t="shared" si="11"/>
        <v/>
      </c>
    </row>
    <row r="666" spans="12:12" x14ac:dyDescent="0.2">
      <c r="L666" t="str">
        <f t="shared" si="11"/>
        <v/>
      </c>
    </row>
    <row r="667" spans="12:12" x14ac:dyDescent="0.2">
      <c r="L667" t="str">
        <f t="shared" si="11"/>
        <v/>
      </c>
    </row>
    <row r="668" spans="12:12" x14ac:dyDescent="0.2">
      <c r="L668" t="str">
        <f t="shared" si="11"/>
        <v/>
      </c>
    </row>
    <row r="669" spans="12:12" x14ac:dyDescent="0.2">
      <c r="L669" t="str">
        <f t="shared" si="11"/>
        <v/>
      </c>
    </row>
    <row r="670" spans="12:12" x14ac:dyDescent="0.2">
      <c r="L670" t="str">
        <f t="shared" si="11"/>
        <v/>
      </c>
    </row>
    <row r="671" spans="12:12" x14ac:dyDescent="0.2">
      <c r="L671" t="str">
        <f t="shared" si="11"/>
        <v/>
      </c>
    </row>
    <row r="672" spans="12:12" x14ac:dyDescent="0.2">
      <c r="L672" t="str">
        <f t="shared" si="11"/>
        <v/>
      </c>
    </row>
    <row r="673" spans="12:12" x14ac:dyDescent="0.2">
      <c r="L673" t="str">
        <f t="shared" si="11"/>
        <v/>
      </c>
    </row>
    <row r="674" spans="12:12" x14ac:dyDescent="0.2">
      <c r="L674" t="str">
        <f t="shared" si="11"/>
        <v/>
      </c>
    </row>
    <row r="675" spans="12:12" x14ac:dyDescent="0.2">
      <c r="L675" t="str">
        <f t="shared" si="11"/>
        <v/>
      </c>
    </row>
    <row r="676" spans="12:12" x14ac:dyDescent="0.2">
      <c r="L676" t="str">
        <f t="shared" si="11"/>
        <v/>
      </c>
    </row>
    <row r="677" spans="12:12" x14ac:dyDescent="0.2">
      <c r="L677" t="str">
        <f t="shared" si="11"/>
        <v/>
      </c>
    </row>
    <row r="678" spans="12:12" x14ac:dyDescent="0.2">
      <c r="L678" t="str">
        <f t="shared" si="11"/>
        <v/>
      </c>
    </row>
    <row r="679" spans="12:12" x14ac:dyDescent="0.2">
      <c r="L679" t="str">
        <f t="shared" si="11"/>
        <v/>
      </c>
    </row>
    <row r="680" spans="12:12" x14ac:dyDescent="0.2">
      <c r="L680" t="str">
        <f t="shared" si="11"/>
        <v/>
      </c>
    </row>
    <row r="681" spans="12:12" x14ac:dyDescent="0.2">
      <c r="L681" t="str">
        <f t="shared" si="11"/>
        <v/>
      </c>
    </row>
    <row r="682" spans="12:12" x14ac:dyDescent="0.2">
      <c r="L682" t="str">
        <f t="shared" si="11"/>
        <v/>
      </c>
    </row>
    <row r="683" spans="12:12" x14ac:dyDescent="0.2">
      <c r="L683" t="str">
        <f t="shared" si="11"/>
        <v/>
      </c>
    </row>
    <row r="684" spans="12:12" x14ac:dyDescent="0.2">
      <c r="L684" t="str">
        <f t="shared" si="11"/>
        <v/>
      </c>
    </row>
    <row r="685" spans="12:12" x14ac:dyDescent="0.2">
      <c r="L685" t="str">
        <f t="shared" si="11"/>
        <v/>
      </c>
    </row>
    <row r="686" spans="12:12" x14ac:dyDescent="0.2">
      <c r="L686" t="str">
        <f t="shared" si="11"/>
        <v/>
      </c>
    </row>
    <row r="687" spans="12:12" x14ac:dyDescent="0.2">
      <c r="L687" t="str">
        <f t="shared" si="11"/>
        <v/>
      </c>
    </row>
    <row r="688" spans="12:12" x14ac:dyDescent="0.2">
      <c r="L688" t="str">
        <f t="shared" si="11"/>
        <v/>
      </c>
    </row>
    <row r="689" spans="12:12" x14ac:dyDescent="0.2">
      <c r="L689" t="str">
        <f t="shared" si="11"/>
        <v/>
      </c>
    </row>
    <row r="690" spans="12:12" x14ac:dyDescent="0.2">
      <c r="L690" t="str">
        <f t="shared" si="11"/>
        <v/>
      </c>
    </row>
    <row r="691" spans="12:12" x14ac:dyDescent="0.2">
      <c r="L691" t="str">
        <f t="shared" si="11"/>
        <v/>
      </c>
    </row>
    <row r="692" spans="12:12" x14ac:dyDescent="0.2">
      <c r="L692" t="str">
        <f t="shared" si="11"/>
        <v/>
      </c>
    </row>
    <row r="693" spans="12:12" x14ac:dyDescent="0.2">
      <c r="L693" t="str">
        <f t="shared" si="11"/>
        <v/>
      </c>
    </row>
    <row r="694" spans="12:12" x14ac:dyDescent="0.2">
      <c r="L694" t="str">
        <f t="shared" si="11"/>
        <v/>
      </c>
    </row>
    <row r="695" spans="12:12" x14ac:dyDescent="0.2">
      <c r="L695" t="str">
        <f t="shared" si="11"/>
        <v/>
      </c>
    </row>
    <row r="696" spans="12:12" x14ac:dyDescent="0.2">
      <c r="L696" t="str">
        <f t="shared" si="11"/>
        <v/>
      </c>
    </row>
    <row r="697" spans="12:12" x14ac:dyDescent="0.2">
      <c r="L697" t="str">
        <f t="shared" si="11"/>
        <v/>
      </c>
    </row>
    <row r="698" spans="12:12" x14ac:dyDescent="0.2">
      <c r="L698" t="str">
        <f t="shared" si="11"/>
        <v/>
      </c>
    </row>
    <row r="699" spans="12:12" x14ac:dyDescent="0.2">
      <c r="L699" t="str">
        <f t="shared" si="11"/>
        <v/>
      </c>
    </row>
    <row r="700" spans="12:12" x14ac:dyDescent="0.2">
      <c r="L700" t="str">
        <f t="shared" si="11"/>
        <v/>
      </c>
    </row>
    <row r="701" spans="12:12" x14ac:dyDescent="0.2">
      <c r="L701" t="str">
        <f t="shared" si="11"/>
        <v/>
      </c>
    </row>
    <row r="702" spans="12:12" x14ac:dyDescent="0.2">
      <c r="L702" t="str">
        <f t="shared" si="11"/>
        <v/>
      </c>
    </row>
    <row r="703" spans="12:12" x14ac:dyDescent="0.2">
      <c r="L703" t="str">
        <f t="shared" si="11"/>
        <v/>
      </c>
    </row>
    <row r="704" spans="12:12" x14ac:dyDescent="0.2">
      <c r="L704" t="str">
        <f t="shared" si="11"/>
        <v/>
      </c>
    </row>
    <row r="705" spans="12:12" x14ac:dyDescent="0.2">
      <c r="L705" t="str">
        <f t="shared" si="11"/>
        <v/>
      </c>
    </row>
    <row r="706" spans="12:12" x14ac:dyDescent="0.2">
      <c r="L706" t="str">
        <f t="shared" si="11"/>
        <v/>
      </c>
    </row>
    <row r="707" spans="12:12" x14ac:dyDescent="0.2">
      <c r="L707" t="str">
        <f t="shared" si="11"/>
        <v/>
      </c>
    </row>
    <row r="708" spans="12:12" x14ac:dyDescent="0.2">
      <c r="L708" t="str">
        <f t="shared" ref="L708:L771" si="12">IF(L707&lt;$I$15,L707+$I$16,"")</f>
        <v/>
      </c>
    </row>
    <row r="709" spans="12:12" x14ac:dyDescent="0.2">
      <c r="L709" t="str">
        <f t="shared" si="12"/>
        <v/>
      </c>
    </row>
    <row r="710" spans="12:12" x14ac:dyDescent="0.2">
      <c r="L710" t="str">
        <f t="shared" si="12"/>
        <v/>
      </c>
    </row>
    <row r="711" spans="12:12" x14ac:dyDescent="0.2">
      <c r="L711" t="str">
        <f t="shared" si="12"/>
        <v/>
      </c>
    </row>
    <row r="712" spans="12:12" x14ac:dyDescent="0.2">
      <c r="L712" t="str">
        <f t="shared" si="12"/>
        <v/>
      </c>
    </row>
    <row r="713" spans="12:12" x14ac:dyDescent="0.2">
      <c r="L713" t="str">
        <f t="shared" si="12"/>
        <v/>
      </c>
    </row>
    <row r="714" spans="12:12" x14ac:dyDescent="0.2">
      <c r="L714" t="str">
        <f t="shared" si="12"/>
        <v/>
      </c>
    </row>
    <row r="715" spans="12:12" x14ac:dyDescent="0.2">
      <c r="L715" t="str">
        <f t="shared" si="12"/>
        <v/>
      </c>
    </row>
    <row r="716" spans="12:12" x14ac:dyDescent="0.2">
      <c r="L716" t="str">
        <f t="shared" si="12"/>
        <v/>
      </c>
    </row>
    <row r="717" spans="12:12" x14ac:dyDescent="0.2">
      <c r="L717" t="str">
        <f t="shared" si="12"/>
        <v/>
      </c>
    </row>
    <row r="718" spans="12:12" x14ac:dyDescent="0.2">
      <c r="L718" t="str">
        <f t="shared" si="12"/>
        <v/>
      </c>
    </row>
    <row r="719" spans="12:12" x14ac:dyDescent="0.2">
      <c r="L719" t="str">
        <f t="shared" si="12"/>
        <v/>
      </c>
    </row>
    <row r="720" spans="12:12" x14ac:dyDescent="0.2">
      <c r="L720" t="str">
        <f t="shared" si="12"/>
        <v/>
      </c>
    </row>
    <row r="721" spans="12:12" x14ac:dyDescent="0.2">
      <c r="L721" t="str">
        <f t="shared" si="12"/>
        <v/>
      </c>
    </row>
    <row r="722" spans="12:12" x14ac:dyDescent="0.2">
      <c r="L722" t="str">
        <f t="shared" si="12"/>
        <v/>
      </c>
    </row>
    <row r="723" spans="12:12" x14ac:dyDescent="0.2">
      <c r="L723" t="str">
        <f t="shared" si="12"/>
        <v/>
      </c>
    </row>
    <row r="724" spans="12:12" x14ac:dyDescent="0.2">
      <c r="L724" t="str">
        <f t="shared" si="12"/>
        <v/>
      </c>
    </row>
    <row r="725" spans="12:12" x14ac:dyDescent="0.2">
      <c r="L725" t="str">
        <f t="shared" si="12"/>
        <v/>
      </c>
    </row>
    <row r="726" spans="12:12" x14ac:dyDescent="0.2">
      <c r="L726" t="str">
        <f t="shared" si="12"/>
        <v/>
      </c>
    </row>
    <row r="727" spans="12:12" x14ac:dyDescent="0.2">
      <c r="L727" t="str">
        <f t="shared" si="12"/>
        <v/>
      </c>
    </row>
    <row r="728" spans="12:12" x14ac:dyDescent="0.2">
      <c r="L728" t="str">
        <f t="shared" si="12"/>
        <v/>
      </c>
    </row>
    <row r="729" spans="12:12" x14ac:dyDescent="0.2">
      <c r="L729" t="str">
        <f t="shared" si="12"/>
        <v/>
      </c>
    </row>
    <row r="730" spans="12:12" x14ac:dyDescent="0.2">
      <c r="L730" t="str">
        <f t="shared" si="12"/>
        <v/>
      </c>
    </row>
    <row r="731" spans="12:12" x14ac:dyDescent="0.2">
      <c r="L731" t="str">
        <f t="shared" si="12"/>
        <v/>
      </c>
    </row>
    <row r="732" spans="12:12" x14ac:dyDescent="0.2">
      <c r="L732" t="str">
        <f t="shared" si="12"/>
        <v/>
      </c>
    </row>
    <row r="733" spans="12:12" x14ac:dyDescent="0.2">
      <c r="L733" t="str">
        <f t="shared" si="12"/>
        <v/>
      </c>
    </row>
    <row r="734" spans="12:12" x14ac:dyDescent="0.2">
      <c r="L734" t="str">
        <f t="shared" si="12"/>
        <v/>
      </c>
    </row>
    <row r="735" spans="12:12" x14ac:dyDescent="0.2">
      <c r="L735" t="str">
        <f t="shared" si="12"/>
        <v/>
      </c>
    </row>
    <row r="736" spans="12:12" x14ac:dyDescent="0.2">
      <c r="L736" t="str">
        <f t="shared" si="12"/>
        <v/>
      </c>
    </row>
    <row r="737" spans="12:12" x14ac:dyDescent="0.2">
      <c r="L737" t="str">
        <f t="shared" si="12"/>
        <v/>
      </c>
    </row>
    <row r="738" spans="12:12" x14ac:dyDescent="0.2">
      <c r="L738" t="str">
        <f t="shared" si="12"/>
        <v/>
      </c>
    </row>
    <row r="739" spans="12:12" x14ac:dyDescent="0.2">
      <c r="L739" t="str">
        <f t="shared" si="12"/>
        <v/>
      </c>
    </row>
    <row r="740" spans="12:12" x14ac:dyDescent="0.2">
      <c r="L740" t="str">
        <f t="shared" si="12"/>
        <v/>
      </c>
    </row>
    <row r="741" spans="12:12" x14ac:dyDescent="0.2">
      <c r="L741" t="str">
        <f t="shared" si="12"/>
        <v/>
      </c>
    </row>
    <row r="742" spans="12:12" x14ac:dyDescent="0.2">
      <c r="L742" t="str">
        <f t="shared" si="12"/>
        <v/>
      </c>
    </row>
    <row r="743" spans="12:12" x14ac:dyDescent="0.2">
      <c r="L743" t="str">
        <f t="shared" si="12"/>
        <v/>
      </c>
    </row>
    <row r="744" spans="12:12" x14ac:dyDescent="0.2">
      <c r="L744" t="str">
        <f t="shared" si="12"/>
        <v/>
      </c>
    </row>
    <row r="745" spans="12:12" x14ac:dyDescent="0.2">
      <c r="L745" t="str">
        <f t="shared" si="12"/>
        <v/>
      </c>
    </row>
    <row r="746" spans="12:12" x14ac:dyDescent="0.2">
      <c r="L746" t="str">
        <f t="shared" si="12"/>
        <v/>
      </c>
    </row>
    <row r="747" spans="12:12" x14ac:dyDescent="0.2">
      <c r="L747" t="str">
        <f t="shared" si="12"/>
        <v/>
      </c>
    </row>
    <row r="748" spans="12:12" x14ac:dyDescent="0.2">
      <c r="L748" t="str">
        <f t="shared" si="12"/>
        <v/>
      </c>
    </row>
    <row r="749" spans="12:12" x14ac:dyDescent="0.2">
      <c r="L749" t="str">
        <f t="shared" si="12"/>
        <v/>
      </c>
    </row>
    <row r="750" spans="12:12" x14ac:dyDescent="0.2">
      <c r="L750" t="str">
        <f t="shared" si="12"/>
        <v/>
      </c>
    </row>
    <row r="751" spans="12:12" x14ac:dyDescent="0.2">
      <c r="L751" t="str">
        <f t="shared" si="12"/>
        <v/>
      </c>
    </row>
    <row r="752" spans="12:12" x14ac:dyDescent="0.2">
      <c r="L752" t="str">
        <f t="shared" si="12"/>
        <v/>
      </c>
    </row>
    <row r="753" spans="12:12" x14ac:dyDescent="0.2">
      <c r="L753" t="str">
        <f t="shared" si="12"/>
        <v/>
      </c>
    </row>
    <row r="754" spans="12:12" x14ac:dyDescent="0.2">
      <c r="L754" t="str">
        <f t="shared" si="12"/>
        <v/>
      </c>
    </row>
    <row r="755" spans="12:12" x14ac:dyDescent="0.2">
      <c r="L755" t="str">
        <f t="shared" si="12"/>
        <v/>
      </c>
    </row>
    <row r="756" spans="12:12" x14ac:dyDescent="0.2">
      <c r="L756" t="str">
        <f t="shared" si="12"/>
        <v/>
      </c>
    </row>
    <row r="757" spans="12:12" x14ac:dyDescent="0.2">
      <c r="L757" t="str">
        <f t="shared" si="12"/>
        <v/>
      </c>
    </row>
    <row r="758" spans="12:12" x14ac:dyDescent="0.2">
      <c r="L758" t="str">
        <f t="shared" si="12"/>
        <v/>
      </c>
    </row>
    <row r="759" spans="12:12" x14ac:dyDescent="0.2">
      <c r="L759" t="str">
        <f t="shared" si="12"/>
        <v/>
      </c>
    </row>
    <row r="760" spans="12:12" x14ac:dyDescent="0.2">
      <c r="L760" t="str">
        <f t="shared" si="12"/>
        <v/>
      </c>
    </row>
    <row r="761" spans="12:12" x14ac:dyDescent="0.2">
      <c r="L761" t="str">
        <f t="shared" si="12"/>
        <v/>
      </c>
    </row>
    <row r="762" spans="12:12" x14ac:dyDescent="0.2">
      <c r="L762" t="str">
        <f t="shared" si="12"/>
        <v/>
      </c>
    </row>
    <row r="763" spans="12:12" x14ac:dyDescent="0.2">
      <c r="L763" t="str">
        <f t="shared" si="12"/>
        <v/>
      </c>
    </row>
    <row r="764" spans="12:12" x14ac:dyDescent="0.2">
      <c r="L764" t="str">
        <f t="shared" si="12"/>
        <v/>
      </c>
    </row>
    <row r="765" spans="12:12" x14ac:dyDescent="0.2">
      <c r="L765" t="str">
        <f t="shared" si="12"/>
        <v/>
      </c>
    </row>
    <row r="766" spans="12:12" x14ac:dyDescent="0.2">
      <c r="L766" t="str">
        <f t="shared" si="12"/>
        <v/>
      </c>
    </row>
    <row r="767" spans="12:12" x14ac:dyDescent="0.2">
      <c r="L767" t="str">
        <f t="shared" si="12"/>
        <v/>
      </c>
    </row>
    <row r="768" spans="12:12" x14ac:dyDescent="0.2">
      <c r="L768" t="str">
        <f t="shared" si="12"/>
        <v/>
      </c>
    </row>
    <row r="769" spans="12:12" x14ac:dyDescent="0.2">
      <c r="L769" t="str">
        <f t="shared" si="12"/>
        <v/>
      </c>
    </row>
    <row r="770" spans="12:12" x14ac:dyDescent="0.2">
      <c r="L770" t="str">
        <f t="shared" si="12"/>
        <v/>
      </c>
    </row>
    <row r="771" spans="12:12" x14ac:dyDescent="0.2">
      <c r="L771" t="str">
        <f t="shared" si="12"/>
        <v/>
      </c>
    </row>
    <row r="772" spans="12:12" x14ac:dyDescent="0.2">
      <c r="L772" t="str">
        <f t="shared" ref="L772:L835" si="13">IF(L771&lt;$I$15,L771+$I$16,"")</f>
        <v/>
      </c>
    </row>
    <row r="773" spans="12:12" x14ac:dyDescent="0.2">
      <c r="L773" t="str">
        <f t="shared" si="13"/>
        <v/>
      </c>
    </row>
    <row r="774" spans="12:12" x14ac:dyDescent="0.2">
      <c r="L774" t="str">
        <f t="shared" si="13"/>
        <v/>
      </c>
    </row>
    <row r="775" spans="12:12" x14ac:dyDescent="0.2">
      <c r="L775" t="str">
        <f t="shared" si="13"/>
        <v/>
      </c>
    </row>
    <row r="776" spans="12:12" x14ac:dyDescent="0.2">
      <c r="L776" t="str">
        <f t="shared" si="13"/>
        <v/>
      </c>
    </row>
    <row r="777" spans="12:12" x14ac:dyDescent="0.2">
      <c r="L777" t="str">
        <f t="shared" si="13"/>
        <v/>
      </c>
    </row>
    <row r="778" spans="12:12" x14ac:dyDescent="0.2">
      <c r="L778" t="str">
        <f t="shared" si="13"/>
        <v/>
      </c>
    </row>
    <row r="779" spans="12:12" x14ac:dyDescent="0.2">
      <c r="L779" t="str">
        <f t="shared" si="13"/>
        <v/>
      </c>
    </row>
    <row r="780" spans="12:12" x14ac:dyDescent="0.2">
      <c r="L780" t="str">
        <f t="shared" si="13"/>
        <v/>
      </c>
    </row>
    <row r="781" spans="12:12" x14ac:dyDescent="0.2">
      <c r="L781" t="str">
        <f t="shared" si="13"/>
        <v/>
      </c>
    </row>
    <row r="782" spans="12:12" x14ac:dyDescent="0.2">
      <c r="L782" t="str">
        <f t="shared" si="13"/>
        <v/>
      </c>
    </row>
    <row r="783" spans="12:12" x14ac:dyDescent="0.2">
      <c r="L783" t="str">
        <f t="shared" si="13"/>
        <v/>
      </c>
    </row>
    <row r="784" spans="12:12" x14ac:dyDescent="0.2">
      <c r="L784" t="str">
        <f t="shared" si="13"/>
        <v/>
      </c>
    </row>
    <row r="785" spans="12:12" x14ac:dyDescent="0.2">
      <c r="L785" t="str">
        <f t="shared" si="13"/>
        <v/>
      </c>
    </row>
    <row r="786" spans="12:12" x14ac:dyDescent="0.2">
      <c r="L786" t="str">
        <f t="shared" si="13"/>
        <v/>
      </c>
    </row>
    <row r="787" spans="12:12" x14ac:dyDescent="0.2">
      <c r="L787" t="str">
        <f t="shared" si="13"/>
        <v/>
      </c>
    </row>
    <row r="788" spans="12:12" x14ac:dyDescent="0.2">
      <c r="L788" t="str">
        <f t="shared" si="13"/>
        <v/>
      </c>
    </row>
    <row r="789" spans="12:12" x14ac:dyDescent="0.2">
      <c r="L789" t="str">
        <f t="shared" si="13"/>
        <v/>
      </c>
    </row>
    <row r="790" spans="12:12" x14ac:dyDescent="0.2">
      <c r="L790" t="str">
        <f t="shared" si="13"/>
        <v/>
      </c>
    </row>
    <row r="791" spans="12:12" x14ac:dyDescent="0.2">
      <c r="L791" t="str">
        <f t="shared" si="13"/>
        <v/>
      </c>
    </row>
    <row r="792" spans="12:12" x14ac:dyDescent="0.2">
      <c r="L792" t="str">
        <f t="shared" si="13"/>
        <v/>
      </c>
    </row>
    <row r="793" spans="12:12" x14ac:dyDescent="0.2">
      <c r="L793" t="str">
        <f t="shared" si="13"/>
        <v/>
      </c>
    </row>
    <row r="794" spans="12:12" x14ac:dyDescent="0.2">
      <c r="L794" t="str">
        <f t="shared" si="13"/>
        <v/>
      </c>
    </row>
    <row r="795" spans="12:12" x14ac:dyDescent="0.2">
      <c r="L795" t="str">
        <f t="shared" si="13"/>
        <v/>
      </c>
    </row>
    <row r="796" spans="12:12" x14ac:dyDescent="0.2">
      <c r="L796" t="str">
        <f t="shared" si="13"/>
        <v/>
      </c>
    </row>
    <row r="797" spans="12:12" x14ac:dyDescent="0.2">
      <c r="L797" t="str">
        <f t="shared" si="13"/>
        <v/>
      </c>
    </row>
    <row r="798" spans="12:12" x14ac:dyDescent="0.2">
      <c r="L798" t="str">
        <f t="shared" si="13"/>
        <v/>
      </c>
    </row>
    <row r="799" spans="12:12" x14ac:dyDescent="0.2">
      <c r="L799" t="str">
        <f t="shared" si="13"/>
        <v/>
      </c>
    </row>
    <row r="800" spans="12:12" x14ac:dyDescent="0.2">
      <c r="L800" t="str">
        <f t="shared" si="13"/>
        <v/>
      </c>
    </row>
    <row r="801" spans="12:12" x14ac:dyDescent="0.2">
      <c r="L801" t="str">
        <f t="shared" si="13"/>
        <v/>
      </c>
    </row>
    <row r="802" spans="12:12" x14ac:dyDescent="0.2">
      <c r="L802" t="str">
        <f t="shared" si="13"/>
        <v/>
      </c>
    </row>
    <row r="803" spans="12:12" x14ac:dyDescent="0.2">
      <c r="L803" t="str">
        <f t="shared" si="13"/>
        <v/>
      </c>
    </row>
    <row r="804" spans="12:12" x14ac:dyDescent="0.2">
      <c r="L804" t="str">
        <f t="shared" si="13"/>
        <v/>
      </c>
    </row>
    <row r="805" spans="12:12" x14ac:dyDescent="0.2">
      <c r="L805" t="str">
        <f t="shared" si="13"/>
        <v/>
      </c>
    </row>
    <row r="806" spans="12:12" x14ac:dyDescent="0.2">
      <c r="L806" t="str">
        <f t="shared" si="13"/>
        <v/>
      </c>
    </row>
    <row r="807" spans="12:12" x14ac:dyDescent="0.2">
      <c r="L807" t="str">
        <f t="shared" si="13"/>
        <v/>
      </c>
    </row>
    <row r="808" spans="12:12" x14ac:dyDescent="0.2">
      <c r="L808" t="str">
        <f t="shared" si="13"/>
        <v/>
      </c>
    </row>
    <row r="809" spans="12:12" x14ac:dyDescent="0.2">
      <c r="L809" t="str">
        <f t="shared" si="13"/>
        <v/>
      </c>
    </row>
    <row r="810" spans="12:12" x14ac:dyDescent="0.2">
      <c r="L810" t="str">
        <f t="shared" si="13"/>
        <v/>
      </c>
    </row>
    <row r="811" spans="12:12" x14ac:dyDescent="0.2">
      <c r="L811" t="str">
        <f t="shared" si="13"/>
        <v/>
      </c>
    </row>
    <row r="812" spans="12:12" x14ac:dyDescent="0.2">
      <c r="L812" t="str">
        <f t="shared" si="13"/>
        <v/>
      </c>
    </row>
    <row r="813" spans="12:12" x14ac:dyDescent="0.2">
      <c r="L813" t="str">
        <f t="shared" si="13"/>
        <v/>
      </c>
    </row>
    <row r="814" spans="12:12" x14ac:dyDescent="0.2">
      <c r="L814" t="str">
        <f t="shared" si="13"/>
        <v/>
      </c>
    </row>
    <row r="815" spans="12:12" x14ac:dyDescent="0.2">
      <c r="L815" t="str">
        <f t="shared" si="13"/>
        <v/>
      </c>
    </row>
    <row r="816" spans="12:12" x14ac:dyDescent="0.2">
      <c r="L816" t="str">
        <f t="shared" si="13"/>
        <v/>
      </c>
    </row>
    <row r="817" spans="12:12" x14ac:dyDescent="0.2">
      <c r="L817" t="str">
        <f t="shared" si="13"/>
        <v/>
      </c>
    </row>
    <row r="818" spans="12:12" x14ac:dyDescent="0.2">
      <c r="L818" t="str">
        <f t="shared" si="13"/>
        <v/>
      </c>
    </row>
    <row r="819" spans="12:12" x14ac:dyDescent="0.2">
      <c r="L819" t="str">
        <f t="shared" si="13"/>
        <v/>
      </c>
    </row>
    <row r="820" spans="12:12" x14ac:dyDescent="0.2">
      <c r="L820" t="str">
        <f t="shared" si="13"/>
        <v/>
      </c>
    </row>
    <row r="821" spans="12:12" x14ac:dyDescent="0.2">
      <c r="L821" t="str">
        <f t="shared" si="13"/>
        <v/>
      </c>
    </row>
    <row r="822" spans="12:12" x14ac:dyDescent="0.2">
      <c r="L822" t="str">
        <f t="shared" si="13"/>
        <v/>
      </c>
    </row>
    <row r="823" spans="12:12" x14ac:dyDescent="0.2">
      <c r="L823" t="str">
        <f t="shared" si="13"/>
        <v/>
      </c>
    </row>
    <row r="824" spans="12:12" x14ac:dyDescent="0.2">
      <c r="L824" t="str">
        <f t="shared" si="13"/>
        <v/>
      </c>
    </row>
    <row r="825" spans="12:12" x14ac:dyDescent="0.2">
      <c r="L825" t="str">
        <f t="shared" si="13"/>
        <v/>
      </c>
    </row>
    <row r="826" spans="12:12" x14ac:dyDescent="0.2">
      <c r="L826" t="str">
        <f t="shared" si="13"/>
        <v/>
      </c>
    </row>
    <row r="827" spans="12:12" x14ac:dyDescent="0.2">
      <c r="L827" t="str">
        <f t="shared" si="13"/>
        <v/>
      </c>
    </row>
    <row r="828" spans="12:12" x14ac:dyDescent="0.2">
      <c r="L828" t="str">
        <f t="shared" si="13"/>
        <v/>
      </c>
    </row>
    <row r="829" spans="12:12" x14ac:dyDescent="0.2">
      <c r="L829" t="str">
        <f t="shared" si="13"/>
        <v/>
      </c>
    </row>
    <row r="830" spans="12:12" x14ac:dyDescent="0.2">
      <c r="L830" t="str">
        <f t="shared" si="13"/>
        <v/>
      </c>
    </row>
    <row r="831" spans="12:12" x14ac:dyDescent="0.2">
      <c r="L831" t="str">
        <f t="shared" si="13"/>
        <v/>
      </c>
    </row>
    <row r="832" spans="12:12" x14ac:dyDescent="0.2">
      <c r="L832" t="str">
        <f t="shared" si="13"/>
        <v/>
      </c>
    </row>
    <row r="833" spans="12:12" x14ac:dyDescent="0.2">
      <c r="L833" t="str">
        <f t="shared" si="13"/>
        <v/>
      </c>
    </row>
    <row r="834" spans="12:12" x14ac:dyDescent="0.2">
      <c r="L834" t="str">
        <f t="shared" si="13"/>
        <v/>
      </c>
    </row>
    <row r="835" spans="12:12" x14ac:dyDescent="0.2">
      <c r="L835" t="str">
        <f t="shared" si="13"/>
        <v/>
      </c>
    </row>
    <row r="836" spans="12:12" x14ac:dyDescent="0.2">
      <c r="L836" t="str">
        <f t="shared" ref="L836:L899" si="14">IF(L835&lt;$I$15,L835+$I$16,"")</f>
        <v/>
      </c>
    </row>
    <row r="837" spans="12:12" x14ac:dyDescent="0.2">
      <c r="L837" t="str">
        <f t="shared" si="14"/>
        <v/>
      </c>
    </row>
    <row r="838" spans="12:12" x14ac:dyDescent="0.2">
      <c r="L838" t="str">
        <f t="shared" si="14"/>
        <v/>
      </c>
    </row>
    <row r="839" spans="12:12" x14ac:dyDescent="0.2">
      <c r="L839" t="str">
        <f t="shared" si="14"/>
        <v/>
      </c>
    </row>
    <row r="840" spans="12:12" x14ac:dyDescent="0.2">
      <c r="L840" t="str">
        <f t="shared" si="14"/>
        <v/>
      </c>
    </row>
    <row r="841" spans="12:12" x14ac:dyDescent="0.2">
      <c r="L841" t="str">
        <f t="shared" si="14"/>
        <v/>
      </c>
    </row>
    <row r="842" spans="12:12" x14ac:dyDescent="0.2">
      <c r="L842" t="str">
        <f t="shared" si="14"/>
        <v/>
      </c>
    </row>
    <row r="843" spans="12:12" x14ac:dyDescent="0.2">
      <c r="L843" t="str">
        <f t="shared" si="14"/>
        <v/>
      </c>
    </row>
    <row r="844" spans="12:12" x14ac:dyDescent="0.2">
      <c r="L844" t="str">
        <f t="shared" si="14"/>
        <v/>
      </c>
    </row>
    <row r="845" spans="12:12" x14ac:dyDescent="0.2">
      <c r="L845" t="str">
        <f t="shared" si="14"/>
        <v/>
      </c>
    </row>
    <row r="846" spans="12:12" x14ac:dyDescent="0.2">
      <c r="L846" t="str">
        <f t="shared" si="14"/>
        <v/>
      </c>
    </row>
    <row r="847" spans="12:12" x14ac:dyDescent="0.2">
      <c r="L847" t="str">
        <f t="shared" si="14"/>
        <v/>
      </c>
    </row>
    <row r="848" spans="12:12" x14ac:dyDescent="0.2">
      <c r="L848" t="str">
        <f t="shared" si="14"/>
        <v/>
      </c>
    </row>
    <row r="849" spans="12:12" x14ac:dyDescent="0.2">
      <c r="L849" t="str">
        <f t="shared" si="14"/>
        <v/>
      </c>
    </row>
    <row r="850" spans="12:12" x14ac:dyDescent="0.2">
      <c r="L850" t="str">
        <f t="shared" si="14"/>
        <v/>
      </c>
    </row>
    <row r="851" spans="12:12" x14ac:dyDescent="0.2">
      <c r="L851" t="str">
        <f t="shared" si="14"/>
        <v/>
      </c>
    </row>
    <row r="852" spans="12:12" x14ac:dyDescent="0.2">
      <c r="L852" t="str">
        <f t="shared" si="14"/>
        <v/>
      </c>
    </row>
    <row r="853" spans="12:12" x14ac:dyDescent="0.2">
      <c r="L853" t="str">
        <f t="shared" si="14"/>
        <v/>
      </c>
    </row>
    <row r="854" spans="12:12" x14ac:dyDescent="0.2">
      <c r="L854" t="str">
        <f t="shared" si="14"/>
        <v/>
      </c>
    </row>
    <row r="855" spans="12:12" x14ac:dyDescent="0.2">
      <c r="L855" t="str">
        <f t="shared" si="14"/>
        <v/>
      </c>
    </row>
    <row r="856" spans="12:12" x14ac:dyDescent="0.2">
      <c r="L856" t="str">
        <f t="shared" si="14"/>
        <v/>
      </c>
    </row>
    <row r="857" spans="12:12" x14ac:dyDescent="0.2">
      <c r="L857" t="str">
        <f t="shared" si="14"/>
        <v/>
      </c>
    </row>
    <row r="858" spans="12:12" x14ac:dyDescent="0.2">
      <c r="L858" t="str">
        <f t="shared" si="14"/>
        <v/>
      </c>
    </row>
    <row r="859" spans="12:12" x14ac:dyDescent="0.2">
      <c r="L859" t="str">
        <f t="shared" si="14"/>
        <v/>
      </c>
    </row>
    <row r="860" spans="12:12" x14ac:dyDescent="0.2">
      <c r="L860" t="str">
        <f t="shared" si="14"/>
        <v/>
      </c>
    </row>
    <row r="861" spans="12:12" x14ac:dyDescent="0.2">
      <c r="L861" t="str">
        <f t="shared" si="14"/>
        <v/>
      </c>
    </row>
    <row r="862" spans="12:12" x14ac:dyDescent="0.2">
      <c r="L862" t="str">
        <f t="shared" si="14"/>
        <v/>
      </c>
    </row>
    <row r="863" spans="12:12" x14ac:dyDescent="0.2">
      <c r="L863" t="str">
        <f t="shared" si="14"/>
        <v/>
      </c>
    </row>
    <row r="864" spans="12:12" x14ac:dyDescent="0.2">
      <c r="L864" t="str">
        <f t="shared" si="14"/>
        <v/>
      </c>
    </row>
    <row r="865" spans="12:12" x14ac:dyDescent="0.2">
      <c r="L865" t="str">
        <f t="shared" si="14"/>
        <v/>
      </c>
    </row>
    <row r="866" spans="12:12" x14ac:dyDescent="0.2">
      <c r="L866" t="str">
        <f t="shared" si="14"/>
        <v/>
      </c>
    </row>
    <row r="867" spans="12:12" x14ac:dyDescent="0.2">
      <c r="L867" t="str">
        <f t="shared" si="14"/>
        <v/>
      </c>
    </row>
    <row r="868" spans="12:12" x14ac:dyDescent="0.2">
      <c r="L868" t="str">
        <f t="shared" si="14"/>
        <v/>
      </c>
    </row>
    <row r="869" spans="12:12" x14ac:dyDescent="0.2">
      <c r="L869" t="str">
        <f t="shared" si="14"/>
        <v/>
      </c>
    </row>
    <row r="870" spans="12:12" x14ac:dyDescent="0.2">
      <c r="L870" t="str">
        <f t="shared" si="14"/>
        <v/>
      </c>
    </row>
    <row r="871" spans="12:12" x14ac:dyDescent="0.2">
      <c r="L871" t="str">
        <f t="shared" si="14"/>
        <v/>
      </c>
    </row>
    <row r="872" spans="12:12" x14ac:dyDescent="0.2">
      <c r="L872" t="str">
        <f t="shared" si="14"/>
        <v/>
      </c>
    </row>
    <row r="873" spans="12:12" x14ac:dyDescent="0.2">
      <c r="L873" t="str">
        <f t="shared" si="14"/>
        <v/>
      </c>
    </row>
    <row r="874" spans="12:12" x14ac:dyDescent="0.2">
      <c r="L874" t="str">
        <f t="shared" si="14"/>
        <v/>
      </c>
    </row>
    <row r="875" spans="12:12" x14ac:dyDescent="0.2">
      <c r="L875" t="str">
        <f t="shared" si="14"/>
        <v/>
      </c>
    </row>
    <row r="876" spans="12:12" x14ac:dyDescent="0.2">
      <c r="L876" t="str">
        <f t="shared" si="14"/>
        <v/>
      </c>
    </row>
    <row r="877" spans="12:12" x14ac:dyDescent="0.2">
      <c r="L877" t="str">
        <f t="shared" si="14"/>
        <v/>
      </c>
    </row>
    <row r="878" spans="12:12" x14ac:dyDescent="0.2">
      <c r="L878" t="str">
        <f t="shared" si="14"/>
        <v/>
      </c>
    </row>
    <row r="879" spans="12:12" x14ac:dyDescent="0.2">
      <c r="L879" t="str">
        <f t="shared" si="14"/>
        <v/>
      </c>
    </row>
    <row r="880" spans="12:12" x14ac:dyDescent="0.2">
      <c r="L880" t="str">
        <f t="shared" si="14"/>
        <v/>
      </c>
    </row>
    <row r="881" spans="12:12" x14ac:dyDescent="0.2">
      <c r="L881" t="str">
        <f t="shared" si="14"/>
        <v/>
      </c>
    </row>
    <row r="882" spans="12:12" x14ac:dyDescent="0.2">
      <c r="L882" t="str">
        <f t="shared" si="14"/>
        <v/>
      </c>
    </row>
    <row r="883" spans="12:12" x14ac:dyDescent="0.2">
      <c r="L883" t="str">
        <f t="shared" si="14"/>
        <v/>
      </c>
    </row>
    <row r="884" spans="12:12" x14ac:dyDescent="0.2">
      <c r="L884" t="str">
        <f t="shared" si="14"/>
        <v/>
      </c>
    </row>
    <row r="885" spans="12:12" x14ac:dyDescent="0.2">
      <c r="L885" t="str">
        <f t="shared" si="14"/>
        <v/>
      </c>
    </row>
    <row r="886" spans="12:12" x14ac:dyDescent="0.2">
      <c r="L886" t="str">
        <f t="shared" si="14"/>
        <v/>
      </c>
    </row>
    <row r="887" spans="12:12" x14ac:dyDescent="0.2">
      <c r="L887" t="str">
        <f t="shared" si="14"/>
        <v/>
      </c>
    </row>
    <row r="888" spans="12:12" x14ac:dyDescent="0.2">
      <c r="L888" t="str">
        <f t="shared" si="14"/>
        <v/>
      </c>
    </row>
    <row r="889" spans="12:12" x14ac:dyDescent="0.2">
      <c r="L889" t="str">
        <f t="shared" si="14"/>
        <v/>
      </c>
    </row>
    <row r="890" spans="12:12" x14ac:dyDescent="0.2">
      <c r="L890" t="str">
        <f t="shared" si="14"/>
        <v/>
      </c>
    </row>
    <row r="891" spans="12:12" x14ac:dyDescent="0.2">
      <c r="L891" t="str">
        <f t="shared" si="14"/>
        <v/>
      </c>
    </row>
    <row r="892" spans="12:12" x14ac:dyDescent="0.2">
      <c r="L892" t="str">
        <f t="shared" si="14"/>
        <v/>
      </c>
    </row>
    <row r="893" spans="12:12" x14ac:dyDescent="0.2">
      <c r="L893" t="str">
        <f t="shared" si="14"/>
        <v/>
      </c>
    </row>
    <row r="894" spans="12:12" x14ac:dyDescent="0.2">
      <c r="L894" t="str">
        <f t="shared" si="14"/>
        <v/>
      </c>
    </row>
    <row r="895" spans="12:12" x14ac:dyDescent="0.2">
      <c r="L895" t="str">
        <f t="shared" si="14"/>
        <v/>
      </c>
    </row>
    <row r="896" spans="12:12" x14ac:dyDescent="0.2">
      <c r="L896" t="str">
        <f t="shared" si="14"/>
        <v/>
      </c>
    </row>
    <row r="897" spans="12:12" x14ac:dyDescent="0.2">
      <c r="L897" t="str">
        <f t="shared" si="14"/>
        <v/>
      </c>
    </row>
    <row r="898" spans="12:12" x14ac:dyDescent="0.2">
      <c r="L898" t="str">
        <f t="shared" si="14"/>
        <v/>
      </c>
    </row>
    <row r="899" spans="12:12" x14ac:dyDescent="0.2">
      <c r="L899" t="str">
        <f t="shared" si="14"/>
        <v/>
      </c>
    </row>
    <row r="900" spans="12:12" x14ac:dyDescent="0.2">
      <c r="L900" t="str">
        <f t="shared" ref="L900:L963" si="15">IF(L899&lt;$I$15,L899+$I$16,"")</f>
        <v/>
      </c>
    </row>
    <row r="901" spans="12:12" x14ac:dyDescent="0.2">
      <c r="L901" t="str">
        <f t="shared" si="15"/>
        <v/>
      </c>
    </row>
    <row r="902" spans="12:12" x14ac:dyDescent="0.2">
      <c r="L902" t="str">
        <f t="shared" si="15"/>
        <v/>
      </c>
    </row>
    <row r="903" spans="12:12" x14ac:dyDescent="0.2">
      <c r="L903" t="str">
        <f t="shared" si="15"/>
        <v/>
      </c>
    </row>
    <row r="904" spans="12:12" x14ac:dyDescent="0.2">
      <c r="L904" t="str">
        <f t="shared" si="15"/>
        <v/>
      </c>
    </row>
    <row r="905" spans="12:12" x14ac:dyDescent="0.2">
      <c r="L905" t="str">
        <f t="shared" si="15"/>
        <v/>
      </c>
    </row>
    <row r="906" spans="12:12" x14ac:dyDescent="0.2">
      <c r="L906" t="str">
        <f t="shared" si="15"/>
        <v/>
      </c>
    </row>
    <row r="907" spans="12:12" x14ac:dyDescent="0.2">
      <c r="L907" t="str">
        <f t="shared" si="15"/>
        <v/>
      </c>
    </row>
    <row r="908" spans="12:12" x14ac:dyDescent="0.2">
      <c r="L908" t="str">
        <f t="shared" si="15"/>
        <v/>
      </c>
    </row>
    <row r="909" spans="12:12" x14ac:dyDescent="0.2">
      <c r="L909" t="str">
        <f t="shared" si="15"/>
        <v/>
      </c>
    </row>
    <row r="910" spans="12:12" x14ac:dyDescent="0.2">
      <c r="L910" t="str">
        <f t="shared" si="15"/>
        <v/>
      </c>
    </row>
    <row r="911" spans="12:12" x14ac:dyDescent="0.2">
      <c r="L911" t="str">
        <f t="shared" si="15"/>
        <v/>
      </c>
    </row>
    <row r="912" spans="12:12" x14ac:dyDescent="0.2">
      <c r="L912" t="str">
        <f t="shared" si="15"/>
        <v/>
      </c>
    </row>
    <row r="913" spans="12:12" x14ac:dyDescent="0.2">
      <c r="L913" t="str">
        <f t="shared" si="15"/>
        <v/>
      </c>
    </row>
    <row r="914" spans="12:12" x14ac:dyDescent="0.2">
      <c r="L914" t="str">
        <f t="shared" si="15"/>
        <v/>
      </c>
    </row>
    <row r="915" spans="12:12" x14ac:dyDescent="0.2">
      <c r="L915" t="str">
        <f t="shared" si="15"/>
        <v/>
      </c>
    </row>
    <row r="916" spans="12:12" x14ac:dyDescent="0.2">
      <c r="L916" t="str">
        <f t="shared" si="15"/>
        <v/>
      </c>
    </row>
    <row r="917" spans="12:12" x14ac:dyDescent="0.2">
      <c r="L917" t="str">
        <f t="shared" si="15"/>
        <v/>
      </c>
    </row>
    <row r="918" spans="12:12" x14ac:dyDescent="0.2">
      <c r="L918" t="str">
        <f t="shared" si="15"/>
        <v/>
      </c>
    </row>
    <row r="919" spans="12:12" x14ac:dyDescent="0.2">
      <c r="L919" t="str">
        <f t="shared" si="15"/>
        <v/>
      </c>
    </row>
    <row r="920" spans="12:12" x14ac:dyDescent="0.2">
      <c r="L920" t="str">
        <f t="shared" si="15"/>
        <v/>
      </c>
    </row>
    <row r="921" spans="12:12" x14ac:dyDescent="0.2">
      <c r="L921" t="str">
        <f t="shared" si="15"/>
        <v/>
      </c>
    </row>
    <row r="922" spans="12:12" x14ac:dyDescent="0.2">
      <c r="L922" t="str">
        <f t="shared" si="15"/>
        <v/>
      </c>
    </row>
    <row r="923" spans="12:12" x14ac:dyDescent="0.2">
      <c r="L923" t="str">
        <f t="shared" si="15"/>
        <v/>
      </c>
    </row>
    <row r="924" spans="12:12" x14ac:dyDescent="0.2">
      <c r="L924" t="str">
        <f t="shared" si="15"/>
        <v/>
      </c>
    </row>
    <row r="925" spans="12:12" x14ac:dyDescent="0.2">
      <c r="L925" t="str">
        <f t="shared" si="15"/>
        <v/>
      </c>
    </row>
    <row r="926" spans="12:12" x14ac:dyDescent="0.2">
      <c r="L926" t="str">
        <f t="shared" si="15"/>
        <v/>
      </c>
    </row>
    <row r="927" spans="12:12" x14ac:dyDescent="0.2">
      <c r="L927" t="str">
        <f t="shared" si="15"/>
        <v/>
      </c>
    </row>
    <row r="928" spans="12:12" x14ac:dyDescent="0.2">
      <c r="L928" t="str">
        <f t="shared" si="15"/>
        <v/>
      </c>
    </row>
    <row r="929" spans="12:12" x14ac:dyDescent="0.2">
      <c r="L929" t="str">
        <f t="shared" si="15"/>
        <v/>
      </c>
    </row>
    <row r="930" spans="12:12" x14ac:dyDescent="0.2">
      <c r="L930" t="str">
        <f t="shared" si="15"/>
        <v/>
      </c>
    </row>
    <row r="931" spans="12:12" x14ac:dyDescent="0.2">
      <c r="L931" t="str">
        <f t="shared" si="15"/>
        <v/>
      </c>
    </row>
    <row r="932" spans="12:12" x14ac:dyDescent="0.2">
      <c r="L932" t="str">
        <f t="shared" si="15"/>
        <v/>
      </c>
    </row>
    <row r="933" spans="12:12" x14ac:dyDescent="0.2">
      <c r="L933" t="str">
        <f t="shared" si="15"/>
        <v/>
      </c>
    </row>
    <row r="934" spans="12:12" x14ac:dyDescent="0.2">
      <c r="L934" t="str">
        <f t="shared" si="15"/>
        <v/>
      </c>
    </row>
    <row r="935" spans="12:12" x14ac:dyDescent="0.2">
      <c r="L935" t="str">
        <f t="shared" si="15"/>
        <v/>
      </c>
    </row>
    <row r="936" spans="12:12" x14ac:dyDescent="0.2">
      <c r="L936" t="str">
        <f t="shared" si="15"/>
        <v/>
      </c>
    </row>
    <row r="937" spans="12:12" x14ac:dyDescent="0.2">
      <c r="L937" t="str">
        <f t="shared" si="15"/>
        <v/>
      </c>
    </row>
    <row r="938" spans="12:12" x14ac:dyDescent="0.2">
      <c r="L938" t="str">
        <f t="shared" si="15"/>
        <v/>
      </c>
    </row>
    <row r="939" spans="12:12" x14ac:dyDescent="0.2">
      <c r="L939" t="str">
        <f t="shared" si="15"/>
        <v/>
      </c>
    </row>
    <row r="940" spans="12:12" x14ac:dyDescent="0.2">
      <c r="L940" t="str">
        <f t="shared" si="15"/>
        <v/>
      </c>
    </row>
    <row r="941" spans="12:12" x14ac:dyDescent="0.2">
      <c r="L941" t="str">
        <f t="shared" si="15"/>
        <v/>
      </c>
    </row>
    <row r="942" spans="12:12" x14ac:dyDescent="0.2">
      <c r="L942" t="str">
        <f t="shared" si="15"/>
        <v/>
      </c>
    </row>
    <row r="943" spans="12:12" x14ac:dyDescent="0.2">
      <c r="L943" t="str">
        <f t="shared" si="15"/>
        <v/>
      </c>
    </row>
    <row r="944" spans="12:12" x14ac:dyDescent="0.2">
      <c r="L944" t="str">
        <f t="shared" si="15"/>
        <v/>
      </c>
    </row>
    <row r="945" spans="12:12" x14ac:dyDescent="0.2">
      <c r="L945" t="str">
        <f t="shared" si="15"/>
        <v/>
      </c>
    </row>
    <row r="946" spans="12:12" x14ac:dyDescent="0.2">
      <c r="L946" t="str">
        <f t="shared" si="15"/>
        <v/>
      </c>
    </row>
    <row r="947" spans="12:12" x14ac:dyDescent="0.2">
      <c r="L947" t="str">
        <f t="shared" si="15"/>
        <v/>
      </c>
    </row>
    <row r="948" spans="12:12" x14ac:dyDescent="0.2">
      <c r="L948" t="str">
        <f t="shared" si="15"/>
        <v/>
      </c>
    </row>
    <row r="949" spans="12:12" x14ac:dyDescent="0.2">
      <c r="L949" t="str">
        <f t="shared" si="15"/>
        <v/>
      </c>
    </row>
    <row r="950" spans="12:12" x14ac:dyDescent="0.2">
      <c r="L950" t="str">
        <f t="shared" si="15"/>
        <v/>
      </c>
    </row>
    <row r="951" spans="12:12" x14ac:dyDescent="0.2">
      <c r="L951" t="str">
        <f t="shared" si="15"/>
        <v/>
      </c>
    </row>
    <row r="952" spans="12:12" x14ac:dyDescent="0.2">
      <c r="L952" t="str">
        <f t="shared" si="15"/>
        <v/>
      </c>
    </row>
    <row r="953" spans="12:12" x14ac:dyDescent="0.2">
      <c r="L953" t="str">
        <f t="shared" si="15"/>
        <v/>
      </c>
    </row>
    <row r="954" spans="12:12" x14ac:dyDescent="0.2">
      <c r="L954" t="str">
        <f t="shared" si="15"/>
        <v/>
      </c>
    </row>
    <row r="955" spans="12:12" x14ac:dyDescent="0.2">
      <c r="L955" t="str">
        <f t="shared" si="15"/>
        <v/>
      </c>
    </row>
    <row r="956" spans="12:12" x14ac:dyDescent="0.2">
      <c r="L956" t="str">
        <f t="shared" si="15"/>
        <v/>
      </c>
    </row>
    <row r="957" spans="12:12" x14ac:dyDescent="0.2">
      <c r="L957" t="str">
        <f t="shared" si="15"/>
        <v/>
      </c>
    </row>
    <row r="958" spans="12:12" x14ac:dyDescent="0.2">
      <c r="L958" t="str">
        <f t="shared" si="15"/>
        <v/>
      </c>
    </row>
    <row r="959" spans="12:12" x14ac:dyDescent="0.2">
      <c r="L959" t="str">
        <f t="shared" si="15"/>
        <v/>
      </c>
    </row>
    <row r="960" spans="12:12" x14ac:dyDescent="0.2">
      <c r="L960" t="str">
        <f t="shared" si="15"/>
        <v/>
      </c>
    </row>
    <row r="961" spans="12:12" x14ac:dyDescent="0.2">
      <c r="L961" t="str">
        <f t="shared" si="15"/>
        <v/>
      </c>
    </row>
    <row r="962" spans="12:12" x14ac:dyDescent="0.2">
      <c r="L962" t="str">
        <f t="shared" si="15"/>
        <v/>
      </c>
    </row>
    <row r="963" spans="12:12" x14ac:dyDescent="0.2">
      <c r="L963" t="str">
        <f t="shared" si="15"/>
        <v/>
      </c>
    </row>
    <row r="964" spans="12:12" x14ac:dyDescent="0.2">
      <c r="L964" t="str">
        <f t="shared" ref="L964:L1027" si="16">IF(L963&lt;$I$15,L963+$I$16,"")</f>
        <v/>
      </c>
    </row>
    <row r="965" spans="12:12" x14ac:dyDescent="0.2">
      <c r="L965" t="str">
        <f t="shared" si="16"/>
        <v/>
      </c>
    </row>
    <row r="966" spans="12:12" x14ac:dyDescent="0.2">
      <c r="L966" t="str">
        <f t="shared" si="16"/>
        <v/>
      </c>
    </row>
    <row r="967" spans="12:12" x14ac:dyDescent="0.2">
      <c r="L967" t="str">
        <f t="shared" si="16"/>
        <v/>
      </c>
    </row>
    <row r="968" spans="12:12" x14ac:dyDescent="0.2">
      <c r="L968" t="str">
        <f t="shared" si="16"/>
        <v/>
      </c>
    </row>
    <row r="969" spans="12:12" x14ac:dyDescent="0.2">
      <c r="L969" t="str">
        <f t="shared" si="16"/>
        <v/>
      </c>
    </row>
    <row r="970" spans="12:12" x14ac:dyDescent="0.2">
      <c r="L970" t="str">
        <f t="shared" si="16"/>
        <v/>
      </c>
    </row>
    <row r="971" spans="12:12" x14ac:dyDescent="0.2">
      <c r="L971" t="str">
        <f t="shared" si="16"/>
        <v/>
      </c>
    </row>
    <row r="972" spans="12:12" x14ac:dyDescent="0.2">
      <c r="L972" t="str">
        <f t="shared" si="16"/>
        <v/>
      </c>
    </row>
    <row r="973" spans="12:12" x14ac:dyDescent="0.2">
      <c r="L973" t="str">
        <f t="shared" si="16"/>
        <v/>
      </c>
    </row>
    <row r="974" spans="12:12" x14ac:dyDescent="0.2">
      <c r="L974" t="str">
        <f t="shared" si="16"/>
        <v/>
      </c>
    </row>
    <row r="975" spans="12:12" x14ac:dyDescent="0.2">
      <c r="L975" t="str">
        <f t="shared" si="16"/>
        <v/>
      </c>
    </row>
    <row r="976" spans="12:12" x14ac:dyDescent="0.2">
      <c r="L976" t="str">
        <f t="shared" si="16"/>
        <v/>
      </c>
    </row>
    <row r="977" spans="12:12" x14ac:dyDescent="0.2">
      <c r="L977" t="str">
        <f t="shared" si="16"/>
        <v/>
      </c>
    </row>
    <row r="978" spans="12:12" x14ac:dyDescent="0.2">
      <c r="L978" t="str">
        <f t="shared" si="16"/>
        <v/>
      </c>
    </row>
    <row r="979" spans="12:12" x14ac:dyDescent="0.2">
      <c r="L979" t="str">
        <f t="shared" si="16"/>
        <v/>
      </c>
    </row>
    <row r="980" spans="12:12" x14ac:dyDescent="0.2">
      <c r="L980" t="str">
        <f t="shared" si="16"/>
        <v/>
      </c>
    </row>
    <row r="981" spans="12:12" x14ac:dyDescent="0.2">
      <c r="L981" t="str">
        <f t="shared" si="16"/>
        <v/>
      </c>
    </row>
    <row r="982" spans="12:12" x14ac:dyDescent="0.2">
      <c r="L982" t="str">
        <f t="shared" si="16"/>
        <v/>
      </c>
    </row>
    <row r="983" spans="12:12" x14ac:dyDescent="0.2">
      <c r="L983" t="str">
        <f t="shared" si="16"/>
        <v/>
      </c>
    </row>
    <row r="984" spans="12:12" x14ac:dyDescent="0.2">
      <c r="L984" t="str">
        <f t="shared" si="16"/>
        <v/>
      </c>
    </row>
    <row r="985" spans="12:12" x14ac:dyDescent="0.2">
      <c r="L985" t="str">
        <f t="shared" si="16"/>
        <v/>
      </c>
    </row>
    <row r="986" spans="12:12" x14ac:dyDescent="0.2">
      <c r="L986" t="str">
        <f t="shared" si="16"/>
        <v/>
      </c>
    </row>
    <row r="987" spans="12:12" x14ac:dyDescent="0.2">
      <c r="L987" t="str">
        <f t="shared" si="16"/>
        <v/>
      </c>
    </row>
    <row r="988" spans="12:12" x14ac:dyDescent="0.2">
      <c r="L988" t="str">
        <f t="shared" si="16"/>
        <v/>
      </c>
    </row>
    <row r="989" spans="12:12" x14ac:dyDescent="0.2">
      <c r="L989" t="str">
        <f t="shared" si="16"/>
        <v/>
      </c>
    </row>
    <row r="990" spans="12:12" x14ac:dyDescent="0.2">
      <c r="L990" t="str">
        <f t="shared" si="16"/>
        <v/>
      </c>
    </row>
    <row r="991" spans="12:12" x14ac:dyDescent="0.2">
      <c r="L991" t="str">
        <f t="shared" si="16"/>
        <v/>
      </c>
    </row>
    <row r="992" spans="12:12" x14ac:dyDescent="0.2">
      <c r="L992" t="str">
        <f t="shared" si="16"/>
        <v/>
      </c>
    </row>
    <row r="993" spans="12:12" x14ac:dyDescent="0.2">
      <c r="L993" t="str">
        <f t="shared" si="16"/>
        <v/>
      </c>
    </row>
    <row r="994" spans="12:12" x14ac:dyDescent="0.2">
      <c r="L994" t="str">
        <f t="shared" si="16"/>
        <v/>
      </c>
    </row>
    <row r="995" spans="12:12" x14ac:dyDescent="0.2">
      <c r="L995" t="str">
        <f t="shared" si="16"/>
        <v/>
      </c>
    </row>
    <row r="996" spans="12:12" x14ac:dyDescent="0.2">
      <c r="L996" t="str">
        <f t="shared" si="16"/>
        <v/>
      </c>
    </row>
    <row r="997" spans="12:12" x14ac:dyDescent="0.2">
      <c r="L997" t="str">
        <f t="shared" si="16"/>
        <v/>
      </c>
    </row>
    <row r="998" spans="12:12" x14ac:dyDescent="0.2">
      <c r="L998" t="str">
        <f t="shared" si="16"/>
        <v/>
      </c>
    </row>
    <row r="999" spans="12:12" x14ac:dyDescent="0.2">
      <c r="L999" t="str">
        <f t="shared" si="16"/>
        <v/>
      </c>
    </row>
    <row r="1000" spans="12:12" x14ac:dyDescent="0.2">
      <c r="L1000" t="str">
        <f t="shared" si="16"/>
        <v/>
      </c>
    </row>
    <row r="1001" spans="12:12" x14ac:dyDescent="0.2">
      <c r="L1001" t="str">
        <f t="shared" si="16"/>
        <v/>
      </c>
    </row>
    <row r="1002" spans="12:12" x14ac:dyDescent="0.2">
      <c r="L1002" t="str">
        <f t="shared" si="16"/>
        <v/>
      </c>
    </row>
    <row r="1003" spans="12:12" x14ac:dyDescent="0.2">
      <c r="L1003" t="str">
        <f t="shared" si="16"/>
        <v/>
      </c>
    </row>
    <row r="1004" spans="12:12" x14ac:dyDescent="0.2">
      <c r="L1004" t="str">
        <f t="shared" si="16"/>
        <v/>
      </c>
    </row>
    <row r="1005" spans="12:12" x14ac:dyDescent="0.2">
      <c r="L1005" t="str">
        <f t="shared" si="16"/>
        <v/>
      </c>
    </row>
    <row r="1006" spans="12:12" x14ac:dyDescent="0.2">
      <c r="L1006" t="str">
        <f t="shared" si="16"/>
        <v/>
      </c>
    </row>
    <row r="1007" spans="12:12" x14ac:dyDescent="0.2">
      <c r="L1007" t="str">
        <f t="shared" si="16"/>
        <v/>
      </c>
    </row>
    <row r="1008" spans="12:12" x14ac:dyDescent="0.2">
      <c r="L1008" t="str">
        <f t="shared" si="16"/>
        <v/>
      </c>
    </row>
    <row r="1009" spans="12:12" x14ac:dyDescent="0.2">
      <c r="L1009" t="str">
        <f t="shared" si="16"/>
        <v/>
      </c>
    </row>
    <row r="1010" spans="12:12" x14ac:dyDescent="0.2">
      <c r="L1010" t="str">
        <f t="shared" si="16"/>
        <v/>
      </c>
    </row>
    <row r="1011" spans="12:12" x14ac:dyDescent="0.2">
      <c r="L1011" t="str">
        <f t="shared" si="16"/>
        <v/>
      </c>
    </row>
    <row r="1012" spans="12:12" x14ac:dyDescent="0.2">
      <c r="L1012" t="str">
        <f t="shared" si="16"/>
        <v/>
      </c>
    </row>
    <row r="1013" spans="12:12" x14ac:dyDescent="0.2">
      <c r="L1013" t="str">
        <f t="shared" si="16"/>
        <v/>
      </c>
    </row>
    <row r="1014" spans="12:12" x14ac:dyDescent="0.2">
      <c r="L1014" t="str">
        <f t="shared" si="16"/>
        <v/>
      </c>
    </row>
    <row r="1015" spans="12:12" x14ac:dyDescent="0.2">
      <c r="L1015" t="str">
        <f t="shared" si="16"/>
        <v/>
      </c>
    </row>
    <row r="1016" spans="12:12" x14ac:dyDescent="0.2">
      <c r="L1016" t="str">
        <f t="shared" si="16"/>
        <v/>
      </c>
    </row>
    <row r="1017" spans="12:12" x14ac:dyDescent="0.2">
      <c r="L1017" t="str">
        <f t="shared" si="16"/>
        <v/>
      </c>
    </row>
    <row r="1018" spans="12:12" x14ac:dyDescent="0.2">
      <c r="L1018" t="str">
        <f t="shared" si="16"/>
        <v/>
      </c>
    </row>
    <row r="1019" spans="12:12" x14ac:dyDescent="0.2">
      <c r="L1019" t="str">
        <f t="shared" si="16"/>
        <v/>
      </c>
    </row>
    <row r="1020" spans="12:12" x14ac:dyDescent="0.2">
      <c r="L1020" t="str">
        <f t="shared" si="16"/>
        <v/>
      </c>
    </row>
    <row r="1021" spans="12:12" x14ac:dyDescent="0.2">
      <c r="L1021" t="str">
        <f t="shared" si="16"/>
        <v/>
      </c>
    </row>
    <row r="1022" spans="12:12" x14ac:dyDescent="0.2">
      <c r="L1022" t="str">
        <f t="shared" si="16"/>
        <v/>
      </c>
    </row>
    <row r="1023" spans="12:12" x14ac:dyDescent="0.2">
      <c r="L1023" t="str">
        <f t="shared" si="16"/>
        <v/>
      </c>
    </row>
    <row r="1024" spans="12:12" x14ac:dyDescent="0.2">
      <c r="L1024" t="str">
        <f t="shared" si="16"/>
        <v/>
      </c>
    </row>
    <row r="1025" spans="12:12" x14ac:dyDescent="0.2">
      <c r="L1025" t="str">
        <f t="shared" si="16"/>
        <v/>
      </c>
    </row>
    <row r="1026" spans="12:12" x14ac:dyDescent="0.2">
      <c r="L1026" t="str">
        <f t="shared" si="16"/>
        <v/>
      </c>
    </row>
    <row r="1027" spans="12:12" x14ac:dyDescent="0.2">
      <c r="L1027" t="str">
        <f t="shared" si="16"/>
        <v/>
      </c>
    </row>
    <row r="1028" spans="12:12" x14ac:dyDescent="0.2">
      <c r="L1028" t="str">
        <f t="shared" ref="L1028:L1091" si="17">IF(L1027&lt;$I$15,L1027+$I$16,"")</f>
        <v/>
      </c>
    </row>
    <row r="1029" spans="12:12" x14ac:dyDescent="0.2">
      <c r="L1029" t="str">
        <f t="shared" si="17"/>
        <v/>
      </c>
    </row>
    <row r="1030" spans="12:12" x14ac:dyDescent="0.2">
      <c r="L1030" t="str">
        <f t="shared" si="17"/>
        <v/>
      </c>
    </row>
    <row r="1031" spans="12:12" x14ac:dyDescent="0.2">
      <c r="L1031" t="str">
        <f t="shared" si="17"/>
        <v/>
      </c>
    </row>
    <row r="1032" spans="12:12" x14ac:dyDescent="0.2">
      <c r="L1032" t="str">
        <f t="shared" si="17"/>
        <v/>
      </c>
    </row>
    <row r="1033" spans="12:12" x14ac:dyDescent="0.2">
      <c r="L1033" t="str">
        <f t="shared" si="17"/>
        <v/>
      </c>
    </row>
    <row r="1034" spans="12:12" x14ac:dyDescent="0.2">
      <c r="L1034" t="str">
        <f t="shared" si="17"/>
        <v/>
      </c>
    </row>
    <row r="1035" spans="12:12" x14ac:dyDescent="0.2">
      <c r="L1035" t="str">
        <f t="shared" si="17"/>
        <v/>
      </c>
    </row>
    <row r="1036" spans="12:12" x14ac:dyDescent="0.2">
      <c r="L1036" t="str">
        <f t="shared" si="17"/>
        <v/>
      </c>
    </row>
    <row r="1037" spans="12:12" x14ac:dyDescent="0.2">
      <c r="L1037" t="str">
        <f t="shared" si="17"/>
        <v/>
      </c>
    </row>
    <row r="1038" spans="12:12" x14ac:dyDescent="0.2">
      <c r="L1038" t="str">
        <f t="shared" si="17"/>
        <v/>
      </c>
    </row>
    <row r="1039" spans="12:12" x14ac:dyDescent="0.2">
      <c r="L1039" t="str">
        <f t="shared" si="17"/>
        <v/>
      </c>
    </row>
    <row r="1040" spans="12:12" x14ac:dyDescent="0.2">
      <c r="L1040" t="str">
        <f t="shared" si="17"/>
        <v/>
      </c>
    </row>
    <row r="1041" spans="12:12" x14ac:dyDescent="0.2">
      <c r="L1041" t="str">
        <f t="shared" si="17"/>
        <v/>
      </c>
    </row>
    <row r="1042" spans="12:12" x14ac:dyDescent="0.2">
      <c r="L1042" t="str">
        <f t="shared" si="17"/>
        <v/>
      </c>
    </row>
    <row r="1043" spans="12:12" x14ac:dyDescent="0.2">
      <c r="L1043" t="str">
        <f t="shared" si="17"/>
        <v/>
      </c>
    </row>
    <row r="1044" spans="12:12" x14ac:dyDescent="0.2">
      <c r="L1044" t="str">
        <f t="shared" si="17"/>
        <v/>
      </c>
    </row>
    <row r="1045" spans="12:12" x14ac:dyDescent="0.2">
      <c r="L1045" t="str">
        <f t="shared" si="17"/>
        <v/>
      </c>
    </row>
    <row r="1046" spans="12:12" x14ac:dyDescent="0.2">
      <c r="L1046" t="str">
        <f t="shared" si="17"/>
        <v/>
      </c>
    </row>
    <row r="1047" spans="12:12" x14ac:dyDescent="0.2">
      <c r="L1047" t="str">
        <f t="shared" si="17"/>
        <v/>
      </c>
    </row>
    <row r="1048" spans="12:12" x14ac:dyDescent="0.2">
      <c r="L1048" t="str">
        <f t="shared" si="17"/>
        <v/>
      </c>
    </row>
    <row r="1049" spans="12:12" x14ac:dyDescent="0.2">
      <c r="L1049" t="str">
        <f t="shared" si="17"/>
        <v/>
      </c>
    </row>
    <row r="1050" spans="12:12" x14ac:dyDescent="0.2">
      <c r="L1050" t="str">
        <f t="shared" si="17"/>
        <v/>
      </c>
    </row>
    <row r="1051" spans="12:12" x14ac:dyDescent="0.2">
      <c r="L1051" t="str">
        <f t="shared" si="17"/>
        <v/>
      </c>
    </row>
    <row r="1052" spans="12:12" x14ac:dyDescent="0.2">
      <c r="L1052" t="str">
        <f t="shared" si="17"/>
        <v/>
      </c>
    </row>
    <row r="1053" spans="12:12" x14ac:dyDescent="0.2">
      <c r="L1053" t="str">
        <f t="shared" si="17"/>
        <v/>
      </c>
    </row>
    <row r="1054" spans="12:12" x14ac:dyDescent="0.2">
      <c r="L1054" t="str">
        <f t="shared" si="17"/>
        <v/>
      </c>
    </row>
    <row r="1055" spans="12:12" x14ac:dyDescent="0.2">
      <c r="L1055" t="str">
        <f t="shared" si="17"/>
        <v/>
      </c>
    </row>
    <row r="1056" spans="12:12" x14ac:dyDescent="0.2">
      <c r="L1056" t="str">
        <f t="shared" si="17"/>
        <v/>
      </c>
    </row>
    <row r="1057" spans="12:12" x14ac:dyDescent="0.2">
      <c r="L1057" t="str">
        <f t="shared" si="17"/>
        <v/>
      </c>
    </row>
    <row r="1058" spans="12:12" x14ac:dyDescent="0.2">
      <c r="L1058" t="str">
        <f t="shared" si="17"/>
        <v/>
      </c>
    </row>
    <row r="1059" spans="12:12" x14ac:dyDescent="0.2">
      <c r="L1059" t="str">
        <f t="shared" si="17"/>
        <v/>
      </c>
    </row>
    <row r="1060" spans="12:12" x14ac:dyDescent="0.2">
      <c r="L1060" t="str">
        <f t="shared" si="17"/>
        <v/>
      </c>
    </row>
    <row r="1061" spans="12:12" x14ac:dyDescent="0.2">
      <c r="L1061" t="str">
        <f t="shared" si="17"/>
        <v/>
      </c>
    </row>
    <row r="1062" spans="12:12" x14ac:dyDescent="0.2">
      <c r="L1062" t="str">
        <f t="shared" si="17"/>
        <v/>
      </c>
    </row>
    <row r="1063" spans="12:12" x14ac:dyDescent="0.2">
      <c r="L1063" t="str">
        <f t="shared" si="17"/>
        <v/>
      </c>
    </row>
    <row r="1064" spans="12:12" x14ac:dyDescent="0.2">
      <c r="L1064" t="str">
        <f t="shared" si="17"/>
        <v/>
      </c>
    </row>
    <row r="1065" spans="12:12" x14ac:dyDescent="0.2">
      <c r="L1065" t="str">
        <f t="shared" si="17"/>
        <v/>
      </c>
    </row>
    <row r="1066" spans="12:12" x14ac:dyDescent="0.2">
      <c r="L1066" t="str">
        <f t="shared" si="17"/>
        <v/>
      </c>
    </row>
    <row r="1067" spans="12:12" x14ac:dyDescent="0.2">
      <c r="L1067" t="str">
        <f t="shared" si="17"/>
        <v/>
      </c>
    </row>
    <row r="1068" spans="12:12" x14ac:dyDescent="0.2">
      <c r="L1068" t="str">
        <f t="shared" si="17"/>
        <v/>
      </c>
    </row>
    <row r="1069" spans="12:12" x14ac:dyDescent="0.2">
      <c r="L1069" t="str">
        <f t="shared" si="17"/>
        <v/>
      </c>
    </row>
    <row r="1070" spans="12:12" x14ac:dyDescent="0.2">
      <c r="L1070" t="str">
        <f t="shared" si="17"/>
        <v/>
      </c>
    </row>
    <row r="1071" spans="12:12" x14ac:dyDescent="0.2">
      <c r="L1071" t="str">
        <f t="shared" si="17"/>
        <v/>
      </c>
    </row>
    <row r="1072" spans="12:12" x14ac:dyDescent="0.2">
      <c r="L1072" t="str">
        <f t="shared" si="17"/>
        <v/>
      </c>
    </row>
    <row r="1073" spans="12:12" x14ac:dyDescent="0.2">
      <c r="L1073" t="str">
        <f t="shared" si="17"/>
        <v/>
      </c>
    </row>
    <row r="1074" spans="12:12" x14ac:dyDescent="0.2">
      <c r="L1074" t="str">
        <f t="shared" si="17"/>
        <v/>
      </c>
    </row>
    <row r="1075" spans="12:12" x14ac:dyDescent="0.2">
      <c r="L1075" t="str">
        <f t="shared" si="17"/>
        <v/>
      </c>
    </row>
    <row r="1076" spans="12:12" x14ac:dyDescent="0.2">
      <c r="L1076" t="str">
        <f t="shared" si="17"/>
        <v/>
      </c>
    </row>
    <row r="1077" spans="12:12" x14ac:dyDescent="0.2">
      <c r="L1077" t="str">
        <f t="shared" si="17"/>
        <v/>
      </c>
    </row>
    <row r="1078" spans="12:12" x14ac:dyDescent="0.2">
      <c r="L1078" t="str">
        <f t="shared" si="17"/>
        <v/>
      </c>
    </row>
    <row r="1079" spans="12:12" x14ac:dyDescent="0.2">
      <c r="L1079" t="str">
        <f t="shared" si="17"/>
        <v/>
      </c>
    </row>
    <row r="1080" spans="12:12" x14ac:dyDescent="0.2">
      <c r="L1080" t="str">
        <f t="shared" si="17"/>
        <v/>
      </c>
    </row>
    <row r="1081" spans="12:12" x14ac:dyDescent="0.2">
      <c r="L1081" t="str">
        <f t="shared" si="17"/>
        <v/>
      </c>
    </row>
    <row r="1082" spans="12:12" x14ac:dyDescent="0.2">
      <c r="L1082" t="str">
        <f t="shared" si="17"/>
        <v/>
      </c>
    </row>
    <row r="1083" spans="12:12" x14ac:dyDescent="0.2">
      <c r="L1083" t="str">
        <f t="shared" si="17"/>
        <v/>
      </c>
    </row>
    <row r="1084" spans="12:12" x14ac:dyDescent="0.2">
      <c r="L1084" t="str">
        <f t="shared" si="17"/>
        <v/>
      </c>
    </row>
    <row r="1085" spans="12:12" x14ac:dyDescent="0.2">
      <c r="L1085" t="str">
        <f t="shared" si="17"/>
        <v/>
      </c>
    </row>
    <row r="1086" spans="12:12" x14ac:dyDescent="0.2">
      <c r="L1086" t="str">
        <f t="shared" si="17"/>
        <v/>
      </c>
    </row>
    <row r="1087" spans="12:12" x14ac:dyDescent="0.2">
      <c r="L1087" t="str">
        <f t="shared" si="17"/>
        <v/>
      </c>
    </row>
    <row r="1088" spans="12:12" x14ac:dyDescent="0.2">
      <c r="L1088" t="str">
        <f t="shared" si="17"/>
        <v/>
      </c>
    </row>
    <row r="1089" spans="12:12" x14ac:dyDescent="0.2">
      <c r="L1089" t="str">
        <f t="shared" si="17"/>
        <v/>
      </c>
    </row>
    <row r="1090" spans="12:12" x14ac:dyDescent="0.2">
      <c r="L1090" t="str">
        <f t="shared" si="17"/>
        <v/>
      </c>
    </row>
    <row r="1091" spans="12:12" x14ac:dyDescent="0.2">
      <c r="L1091" t="str">
        <f t="shared" si="17"/>
        <v/>
      </c>
    </row>
    <row r="1092" spans="12:12" x14ac:dyDescent="0.2">
      <c r="L1092" t="str">
        <f t="shared" ref="L1092:L1155" si="18">IF(L1091&lt;$I$15,L1091+$I$16,"")</f>
        <v/>
      </c>
    </row>
    <row r="1093" spans="12:12" x14ac:dyDescent="0.2">
      <c r="L1093" t="str">
        <f t="shared" si="18"/>
        <v/>
      </c>
    </row>
    <row r="1094" spans="12:12" x14ac:dyDescent="0.2">
      <c r="L1094" t="str">
        <f t="shared" si="18"/>
        <v/>
      </c>
    </row>
    <row r="1095" spans="12:12" x14ac:dyDescent="0.2">
      <c r="L1095" t="str">
        <f t="shared" si="18"/>
        <v/>
      </c>
    </row>
    <row r="1096" spans="12:12" x14ac:dyDescent="0.2">
      <c r="L1096" t="str">
        <f t="shared" si="18"/>
        <v/>
      </c>
    </row>
    <row r="1097" spans="12:12" x14ac:dyDescent="0.2">
      <c r="L1097" t="str">
        <f t="shared" si="18"/>
        <v/>
      </c>
    </row>
    <row r="1098" spans="12:12" x14ac:dyDescent="0.2">
      <c r="L1098" t="str">
        <f t="shared" si="18"/>
        <v/>
      </c>
    </row>
    <row r="1099" spans="12:12" x14ac:dyDescent="0.2">
      <c r="L1099" t="str">
        <f t="shared" si="18"/>
        <v/>
      </c>
    </row>
    <row r="1100" spans="12:12" x14ac:dyDescent="0.2">
      <c r="L1100" t="str">
        <f t="shared" si="18"/>
        <v/>
      </c>
    </row>
    <row r="1101" spans="12:12" x14ac:dyDescent="0.2">
      <c r="L1101" t="str">
        <f t="shared" si="18"/>
        <v/>
      </c>
    </row>
    <row r="1102" spans="12:12" x14ac:dyDescent="0.2">
      <c r="L1102" t="str">
        <f t="shared" si="18"/>
        <v/>
      </c>
    </row>
    <row r="1103" spans="12:12" x14ac:dyDescent="0.2">
      <c r="L1103" t="str">
        <f t="shared" si="18"/>
        <v/>
      </c>
    </row>
    <row r="1104" spans="12:12" x14ac:dyDescent="0.2">
      <c r="L1104" t="str">
        <f t="shared" si="18"/>
        <v/>
      </c>
    </row>
    <row r="1105" spans="12:12" x14ac:dyDescent="0.2">
      <c r="L1105" t="str">
        <f t="shared" si="18"/>
        <v/>
      </c>
    </row>
    <row r="1106" spans="12:12" x14ac:dyDescent="0.2">
      <c r="L1106" t="str">
        <f t="shared" si="18"/>
        <v/>
      </c>
    </row>
    <row r="1107" spans="12:12" x14ac:dyDescent="0.2">
      <c r="L1107" t="str">
        <f t="shared" si="18"/>
        <v/>
      </c>
    </row>
    <row r="1108" spans="12:12" x14ac:dyDescent="0.2">
      <c r="L1108" t="str">
        <f t="shared" si="18"/>
        <v/>
      </c>
    </row>
    <row r="1109" spans="12:12" x14ac:dyDescent="0.2">
      <c r="L1109" t="str">
        <f t="shared" si="18"/>
        <v/>
      </c>
    </row>
    <row r="1110" spans="12:12" x14ac:dyDescent="0.2">
      <c r="L1110" t="str">
        <f t="shared" si="18"/>
        <v/>
      </c>
    </row>
    <row r="1111" spans="12:12" x14ac:dyDescent="0.2">
      <c r="L1111" t="str">
        <f t="shared" si="18"/>
        <v/>
      </c>
    </row>
    <row r="1112" spans="12:12" x14ac:dyDescent="0.2">
      <c r="L1112" t="str">
        <f t="shared" si="18"/>
        <v/>
      </c>
    </row>
    <row r="1113" spans="12:12" x14ac:dyDescent="0.2">
      <c r="L1113" t="str">
        <f t="shared" si="18"/>
        <v/>
      </c>
    </row>
    <row r="1114" spans="12:12" x14ac:dyDescent="0.2">
      <c r="L1114" t="str">
        <f t="shared" si="18"/>
        <v/>
      </c>
    </row>
    <row r="1115" spans="12:12" x14ac:dyDescent="0.2">
      <c r="L1115" t="str">
        <f t="shared" si="18"/>
        <v/>
      </c>
    </row>
    <row r="1116" spans="12:12" x14ac:dyDescent="0.2">
      <c r="L1116" t="str">
        <f t="shared" si="18"/>
        <v/>
      </c>
    </row>
    <row r="1117" spans="12:12" x14ac:dyDescent="0.2">
      <c r="L1117" t="str">
        <f t="shared" si="18"/>
        <v/>
      </c>
    </row>
    <row r="1118" spans="12:12" x14ac:dyDescent="0.2">
      <c r="L1118" t="str">
        <f t="shared" si="18"/>
        <v/>
      </c>
    </row>
    <row r="1119" spans="12:12" x14ac:dyDescent="0.2">
      <c r="L1119" t="str">
        <f t="shared" si="18"/>
        <v/>
      </c>
    </row>
    <row r="1120" spans="12:12" x14ac:dyDescent="0.2">
      <c r="L1120" t="str">
        <f t="shared" si="18"/>
        <v/>
      </c>
    </row>
    <row r="1121" spans="12:12" x14ac:dyDescent="0.2">
      <c r="L1121" t="str">
        <f t="shared" si="18"/>
        <v/>
      </c>
    </row>
    <row r="1122" spans="12:12" x14ac:dyDescent="0.2">
      <c r="L1122" t="str">
        <f t="shared" si="18"/>
        <v/>
      </c>
    </row>
    <row r="1123" spans="12:12" x14ac:dyDescent="0.2">
      <c r="L1123" t="str">
        <f t="shared" si="18"/>
        <v/>
      </c>
    </row>
    <row r="1124" spans="12:12" x14ac:dyDescent="0.2">
      <c r="L1124" t="str">
        <f t="shared" si="18"/>
        <v/>
      </c>
    </row>
    <row r="1125" spans="12:12" x14ac:dyDescent="0.2">
      <c r="L1125" t="str">
        <f t="shared" si="18"/>
        <v/>
      </c>
    </row>
    <row r="1126" spans="12:12" x14ac:dyDescent="0.2">
      <c r="L1126" t="str">
        <f t="shared" si="18"/>
        <v/>
      </c>
    </row>
    <row r="1127" spans="12:12" x14ac:dyDescent="0.2">
      <c r="L1127" t="str">
        <f t="shared" si="18"/>
        <v/>
      </c>
    </row>
    <row r="1128" spans="12:12" x14ac:dyDescent="0.2">
      <c r="L1128" t="str">
        <f t="shared" si="18"/>
        <v/>
      </c>
    </row>
    <row r="1129" spans="12:12" x14ac:dyDescent="0.2">
      <c r="L1129" t="str">
        <f t="shared" si="18"/>
        <v/>
      </c>
    </row>
    <row r="1130" spans="12:12" x14ac:dyDescent="0.2">
      <c r="L1130" t="str">
        <f t="shared" si="18"/>
        <v/>
      </c>
    </row>
    <row r="1131" spans="12:12" x14ac:dyDescent="0.2">
      <c r="L1131" t="str">
        <f t="shared" si="18"/>
        <v/>
      </c>
    </row>
    <row r="1132" spans="12:12" x14ac:dyDescent="0.2">
      <c r="L1132" t="str">
        <f t="shared" si="18"/>
        <v/>
      </c>
    </row>
    <row r="1133" spans="12:12" x14ac:dyDescent="0.2">
      <c r="L1133" t="str">
        <f t="shared" si="18"/>
        <v/>
      </c>
    </row>
    <row r="1134" spans="12:12" x14ac:dyDescent="0.2">
      <c r="L1134" t="str">
        <f t="shared" si="18"/>
        <v/>
      </c>
    </row>
    <row r="1135" spans="12:12" x14ac:dyDescent="0.2">
      <c r="L1135" t="str">
        <f t="shared" si="18"/>
        <v/>
      </c>
    </row>
    <row r="1136" spans="12:12" x14ac:dyDescent="0.2">
      <c r="L1136" t="str">
        <f t="shared" si="18"/>
        <v/>
      </c>
    </row>
    <row r="1137" spans="12:12" x14ac:dyDescent="0.2">
      <c r="L1137" t="str">
        <f t="shared" si="18"/>
        <v/>
      </c>
    </row>
    <row r="1138" spans="12:12" x14ac:dyDescent="0.2">
      <c r="L1138" t="str">
        <f t="shared" si="18"/>
        <v/>
      </c>
    </row>
    <row r="1139" spans="12:12" x14ac:dyDescent="0.2">
      <c r="L1139" t="str">
        <f t="shared" si="18"/>
        <v/>
      </c>
    </row>
    <row r="1140" spans="12:12" x14ac:dyDescent="0.2">
      <c r="L1140" t="str">
        <f t="shared" si="18"/>
        <v/>
      </c>
    </row>
    <row r="1141" spans="12:12" x14ac:dyDescent="0.2">
      <c r="L1141" t="str">
        <f t="shared" si="18"/>
        <v/>
      </c>
    </row>
    <row r="1142" spans="12:12" x14ac:dyDescent="0.2">
      <c r="L1142" t="str">
        <f t="shared" si="18"/>
        <v/>
      </c>
    </row>
    <row r="1143" spans="12:12" x14ac:dyDescent="0.2">
      <c r="L1143" t="str">
        <f t="shared" si="18"/>
        <v/>
      </c>
    </row>
    <row r="1144" spans="12:12" x14ac:dyDescent="0.2">
      <c r="L1144" t="str">
        <f t="shared" si="18"/>
        <v/>
      </c>
    </row>
    <row r="1145" spans="12:12" x14ac:dyDescent="0.2">
      <c r="L1145" t="str">
        <f t="shared" si="18"/>
        <v/>
      </c>
    </row>
    <row r="1146" spans="12:12" x14ac:dyDescent="0.2">
      <c r="L1146" t="str">
        <f t="shared" si="18"/>
        <v/>
      </c>
    </row>
    <row r="1147" spans="12:12" x14ac:dyDescent="0.2">
      <c r="L1147" t="str">
        <f t="shared" si="18"/>
        <v/>
      </c>
    </row>
    <row r="1148" spans="12:12" x14ac:dyDescent="0.2">
      <c r="L1148" t="str">
        <f t="shared" si="18"/>
        <v/>
      </c>
    </row>
    <row r="1149" spans="12:12" x14ac:dyDescent="0.2">
      <c r="L1149" t="str">
        <f t="shared" si="18"/>
        <v/>
      </c>
    </row>
    <row r="1150" spans="12:12" x14ac:dyDescent="0.2">
      <c r="L1150" t="str">
        <f t="shared" si="18"/>
        <v/>
      </c>
    </row>
    <row r="1151" spans="12:12" x14ac:dyDescent="0.2">
      <c r="L1151" t="str">
        <f t="shared" si="18"/>
        <v/>
      </c>
    </row>
    <row r="1152" spans="12:12" x14ac:dyDescent="0.2">
      <c r="L1152" t="str">
        <f t="shared" si="18"/>
        <v/>
      </c>
    </row>
    <row r="1153" spans="12:12" x14ac:dyDescent="0.2">
      <c r="L1153" t="str">
        <f t="shared" si="18"/>
        <v/>
      </c>
    </row>
    <row r="1154" spans="12:12" x14ac:dyDescent="0.2">
      <c r="L1154" t="str">
        <f t="shared" si="18"/>
        <v/>
      </c>
    </row>
    <row r="1155" spans="12:12" x14ac:dyDescent="0.2">
      <c r="L1155" t="str">
        <f t="shared" si="18"/>
        <v/>
      </c>
    </row>
    <row r="1156" spans="12:12" x14ac:dyDescent="0.2">
      <c r="L1156" t="str">
        <f t="shared" ref="L1156:L1219" si="19">IF(L1155&lt;$I$15,L1155+$I$16,"")</f>
        <v/>
      </c>
    </row>
    <row r="1157" spans="12:12" x14ac:dyDescent="0.2">
      <c r="L1157" t="str">
        <f t="shared" si="19"/>
        <v/>
      </c>
    </row>
    <row r="1158" spans="12:12" x14ac:dyDescent="0.2">
      <c r="L1158" t="str">
        <f t="shared" si="19"/>
        <v/>
      </c>
    </row>
    <row r="1159" spans="12:12" x14ac:dyDescent="0.2">
      <c r="L1159" t="str">
        <f t="shared" si="19"/>
        <v/>
      </c>
    </row>
    <row r="1160" spans="12:12" x14ac:dyDescent="0.2">
      <c r="L1160" t="str">
        <f t="shared" si="19"/>
        <v/>
      </c>
    </row>
    <row r="1161" spans="12:12" x14ac:dyDescent="0.2">
      <c r="L1161" t="str">
        <f t="shared" si="19"/>
        <v/>
      </c>
    </row>
    <row r="1162" spans="12:12" x14ac:dyDescent="0.2">
      <c r="L1162" t="str">
        <f t="shared" si="19"/>
        <v/>
      </c>
    </row>
    <row r="1163" spans="12:12" x14ac:dyDescent="0.2">
      <c r="L1163" t="str">
        <f t="shared" si="19"/>
        <v/>
      </c>
    </row>
    <row r="1164" spans="12:12" x14ac:dyDescent="0.2">
      <c r="L1164" t="str">
        <f t="shared" si="19"/>
        <v/>
      </c>
    </row>
    <row r="1165" spans="12:12" x14ac:dyDescent="0.2">
      <c r="L1165" t="str">
        <f t="shared" si="19"/>
        <v/>
      </c>
    </row>
    <row r="1166" spans="12:12" x14ac:dyDescent="0.2">
      <c r="L1166" t="str">
        <f t="shared" si="19"/>
        <v/>
      </c>
    </row>
    <row r="1167" spans="12:12" x14ac:dyDescent="0.2">
      <c r="L1167" t="str">
        <f t="shared" si="19"/>
        <v/>
      </c>
    </row>
    <row r="1168" spans="12:12" x14ac:dyDescent="0.2">
      <c r="L1168" t="str">
        <f t="shared" si="19"/>
        <v/>
      </c>
    </row>
    <row r="1169" spans="12:12" x14ac:dyDescent="0.2">
      <c r="L1169" t="str">
        <f t="shared" si="19"/>
        <v/>
      </c>
    </row>
    <row r="1170" spans="12:12" x14ac:dyDescent="0.2">
      <c r="L1170" t="str">
        <f t="shared" si="19"/>
        <v/>
      </c>
    </row>
    <row r="1171" spans="12:12" x14ac:dyDescent="0.2">
      <c r="L1171" t="str">
        <f t="shared" si="19"/>
        <v/>
      </c>
    </row>
    <row r="1172" spans="12:12" x14ac:dyDescent="0.2">
      <c r="L1172" t="str">
        <f t="shared" si="19"/>
        <v/>
      </c>
    </row>
    <row r="1173" spans="12:12" x14ac:dyDescent="0.2">
      <c r="L1173" t="str">
        <f t="shared" si="19"/>
        <v/>
      </c>
    </row>
    <row r="1174" spans="12:12" x14ac:dyDescent="0.2">
      <c r="L1174" t="str">
        <f t="shared" si="19"/>
        <v/>
      </c>
    </row>
    <row r="1175" spans="12:12" x14ac:dyDescent="0.2">
      <c r="L1175" t="str">
        <f t="shared" si="19"/>
        <v/>
      </c>
    </row>
    <row r="1176" spans="12:12" x14ac:dyDescent="0.2">
      <c r="L1176" t="str">
        <f t="shared" si="19"/>
        <v/>
      </c>
    </row>
    <row r="1177" spans="12:12" x14ac:dyDescent="0.2">
      <c r="L1177" t="str">
        <f t="shared" si="19"/>
        <v/>
      </c>
    </row>
    <row r="1178" spans="12:12" x14ac:dyDescent="0.2">
      <c r="L1178" t="str">
        <f t="shared" si="19"/>
        <v/>
      </c>
    </row>
    <row r="1179" spans="12:12" x14ac:dyDescent="0.2">
      <c r="L1179" t="str">
        <f t="shared" si="19"/>
        <v/>
      </c>
    </row>
    <row r="1180" spans="12:12" x14ac:dyDescent="0.2">
      <c r="L1180" t="str">
        <f t="shared" si="19"/>
        <v/>
      </c>
    </row>
    <row r="1181" spans="12:12" x14ac:dyDescent="0.2">
      <c r="L1181" t="str">
        <f t="shared" si="19"/>
        <v/>
      </c>
    </row>
    <row r="1182" spans="12:12" x14ac:dyDescent="0.2">
      <c r="L1182" t="str">
        <f t="shared" si="19"/>
        <v/>
      </c>
    </row>
    <row r="1183" spans="12:12" x14ac:dyDescent="0.2">
      <c r="L1183" t="str">
        <f t="shared" si="19"/>
        <v/>
      </c>
    </row>
    <row r="1184" spans="12:12" x14ac:dyDescent="0.2">
      <c r="L1184" t="str">
        <f t="shared" si="19"/>
        <v/>
      </c>
    </row>
    <row r="1185" spans="12:12" x14ac:dyDescent="0.2">
      <c r="L1185" t="str">
        <f t="shared" si="19"/>
        <v/>
      </c>
    </row>
    <row r="1186" spans="12:12" x14ac:dyDescent="0.2">
      <c r="L1186" t="str">
        <f t="shared" si="19"/>
        <v/>
      </c>
    </row>
    <row r="1187" spans="12:12" x14ac:dyDescent="0.2">
      <c r="L1187" t="str">
        <f t="shared" si="19"/>
        <v/>
      </c>
    </row>
    <row r="1188" spans="12:12" x14ac:dyDescent="0.2">
      <c r="L1188" t="str">
        <f t="shared" si="19"/>
        <v/>
      </c>
    </row>
    <row r="1189" spans="12:12" x14ac:dyDescent="0.2">
      <c r="L1189" t="str">
        <f t="shared" si="19"/>
        <v/>
      </c>
    </row>
    <row r="1190" spans="12:12" x14ac:dyDescent="0.2">
      <c r="L1190" t="str">
        <f t="shared" si="19"/>
        <v/>
      </c>
    </row>
    <row r="1191" spans="12:12" x14ac:dyDescent="0.2">
      <c r="L1191" t="str">
        <f t="shared" si="19"/>
        <v/>
      </c>
    </row>
    <row r="1192" spans="12:12" x14ac:dyDescent="0.2">
      <c r="L1192" t="str">
        <f t="shared" si="19"/>
        <v/>
      </c>
    </row>
    <row r="1193" spans="12:12" x14ac:dyDescent="0.2">
      <c r="L1193" t="str">
        <f t="shared" si="19"/>
        <v/>
      </c>
    </row>
    <row r="1194" spans="12:12" x14ac:dyDescent="0.2">
      <c r="L1194" t="str">
        <f t="shared" si="19"/>
        <v/>
      </c>
    </row>
    <row r="1195" spans="12:12" x14ac:dyDescent="0.2">
      <c r="L1195" t="str">
        <f t="shared" si="19"/>
        <v/>
      </c>
    </row>
    <row r="1196" spans="12:12" x14ac:dyDescent="0.2">
      <c r="L1196" t="str">
        <f t="shared" si="19"/>
        <v/>
      </c>
    </row>
    <row r="1197" spans="12:12" x14ac:dyDescent="0.2">
      <c r="L1197" t="str">
        <f t="shared" si="19"/>
        <v/>
      </c>
    </row>
    <row r="1198" spans="12:12" x14ac:dyDescent="0.2">
      <c r="L1198" t="str">
        <f t="shared" si="19"/>
        <v/>
      </c>
    </row>
    <row r="1199" spans="12:12" x14ac:dyDescent="0.2">
      <c r="L1199" t="str">
        <f t="shared" si="19"/>
        <v/>
      </c>
    </row>
    <row r="1200" spans="12:12" x14ac:dyDescent="0.2">
      <c r="L1200" t="str">
        <f t="shared" si="19"/>
        <v/>
      </c>
    </row>
    <row r="1201" spans="12:12" x14ac:dyDescent="0.2">
      <c r="L1201" t="str">
        <f t="shared" si="19"/>
        <v/>
      </c>
    </row>
    <row r="1202" spans="12:12" x14ac:dyDescent="0.2">
      <c r="L1202" t="str">
        <f t="shared" si="19"/>
        <v/>
      </c>
    </row>
    <row r="1203" spans="12:12" x14ac:dyDescent="0.2">
      <c r="L1203" t="str">
        <f t="shared" si="19"/>
        <v/>
      </c>
    </row>
    <row r="1204" spans="12:12" x14ac:dyDescent="0.2">
      <c r="L1204" t="str">
        <f t="shared" si="19"/>
        <v/>
      </c>
    </row>
    <row r="1205" spans="12:12" x14ac:dyDescent="0.2">
      <c r="L1205" t="str">
        <f t="shared" si="19"/>
        <v/>
      </c>
    </row>
    <row r="1206" spans="12:12" x14ac:dyDescent="0.2">
      <c r="L1206" t="str">
        <f t="shared" si="19"/>
        <v/>
      </c>
    </row>
    <row r="1207" spans="12:12" x14ac:dyDescent="0.2">
      <c r="L1207" t="str">
        <f t="shared" si="19"/>
        <v/>
      </c>
    </row>
    <row r="1208" spans="12:12" x14ac:dyDescent="0.2">
      <c r="L1208" t="str">
        <f t="shared" si="19"/>
        <v/>
      </c>
    </row>
    <row r="1209" spans="12:12" x14ac:dyDescent="0.2">
      <c r="L1209" t="str">
        <f t="shared" si="19"/>
        <v/>
      </c>
    </row>
    <row r="1210" spans="12:12" x14ac:dyDescent="0.2">
      <c r="L1210" t="str">
        <f t="shared" si="19"/>
        <v/>
      </c>
    </row>
    <row r="1211" spans="12:12" x14ac:dyDescent="0.2">
      <c r="L1211" t="str">
        <f t="shared" si="19"/>
        <v/>
      </c>
    </row>
    <row r="1212" spans="12:12" x14ac:dyDescent="0.2">
      <c r="L1212" t="str">
        <f t="shared" si="19"/>
        <v/>
      </c>
    </row>
    <row r="1213" spans="12:12" x14ac:dyDescent="0.2">
      <c r="L1213" t="str">
        <f t="shared" si="19"/>
        <v/>
      </c>
    </row>
    <row r="1214" spans="12:12" x14ac:dyDescent="0.2">
      <c r="L1214" t="str">
        <f t="shared" si="19"/>
        <v/>
      </c>
    </row>
    <row r="1215" spans="12:12" x14ac:dyDescent="0.2">
      <c r="L1215" t="str">
        <f t="shared" si="19"/>
        <v/>
      </c>
    </row>
    <row r="1216" spans="12:12" x14ac:dyDescent="0.2">
      <c r="L1216" t="str">
        <f t="shared" si="19"/>
        <v/>
      </c>
    </row>
    <row r="1217" spans="12:12" x14ac:dyDescent="0.2">
      <c r="L1217" t="str">
        <f t="shared" si="19"/>
        <v/>
      </c>
    </row>
    <row r="1218" spans="12:12" x14ac:dyDescent="0.2">
      <c r="L1218" t="str">
        <f t="shared" si="19"/>
        <v/>
      </c>
    </row>
    <row r="1219" spans="12:12" x14ac:dyDescent="0.2">
      <c r="L1219" t="str">
        <f t="shared" si="19"/>
        <v/>
      </c>
    </row>
    <row r="1220" spans="12:12" x14ac:dyDescent="0.2">
      <c r="L1220" t="str">
        <f t="shared" ref="L1220:L1283" si="20">IF(L1219&lt;$I$15,L1219+$I$16,"")</f>
        <v/>
      </c>
    </row>
    <row r="1221" spans="12:12" x14ac:dyDescent="0.2">
      <c r="L1221" t="str">
        <f t="shared" si="20"/>
        <v/>
      </c>
    </row>
    <row r="1222" spans="12:12" x14ac:dyDescent="0.2">
      <c r="L1222" t="str">
        <f t="shared" si="20"/>
        <v/>
      </c>
    </row>
    <row r="1223" spans="12:12" x14ac:dyDescent="0.2">
      <c r="L1223" t="str">
        <f t="shared" si="20"/>
        <v/>
      </c>
    </row>
    <row r="1224" spans="12:12" x14ac:dyDescent="0.2">
      <c r="L1224" t="str">
        <f t="shared" si="20"/>
        <v/>
      </c>
    </row>
    <row r="1225" spans="12:12" x14ac:dyDescent="0.2">
      <c r="L1225" t="str">
        <f t="shared" si="20"/>
        <v/>
      </c>
    </row>
    <row r="1226" spans="12:12" x14ac:dyDescent="0.2">
      <c r="L1226" t="str">
        <f t="shared" si="20"/>
        <v/>
      </c>
    </row>
    <row r="1227" spans="12:12" x14ac:dyDescent="0.2">
      <c r="L1227" t="str">
        <f t="shared" si="20"/>
        <v/>
      </c>
    </row>
    <row r="1228" spans="12:12" x14ac:dyDescent="0.2">
      <c r="L1228" t="str">
        <f t="shared" si="20"/>
        <v/>
      </c>
    </row>
    <row r="1229" spans="12:12" x14ac:dyDescent="0.2">
      <c r="L1229" t="str">
        <f t="shared" si="20"/>
        <v/>
      </c>
    </row>
    <row r="1230" spans="12:12" x14ac:dyDescent="0.2">
      <c r="L1230" t="str">
        <f t="shared" si="20"/>
        <v/>
      </c>
    </row>
    <row r="1231" spans="12:12" x14ac:dyDescent="0.2">
      <c r="L1231" t="str">
        <f t="shared" si="20"/>
        <v/>
      </c>
    </row>
    <row r="1232" spans="12:12" x14ac:dyDescent="0.2">
      <c r="L1232" t="str">
        <f t="shared" si="20"/>
        <v/>
      </c>
    </row>
    <row r="1233" spans="12:12" x14ac:dyDescent="0.2">
      <c r="L1233" t="str">
        <f t="shared" si="20"/>
        <v/>
      </c>
    </row>
    <row r="1234" spans="12:12" x14ac:dyDescent="0.2">
      <c r="L1234" t="str">
        <f t="shared" si="20"/>
        <v/>
      </c>
    </row>
    <row r="1235" spans="12:12" x14ac:dyDescent="0.2">
      <c r="L1235" t="str">
        <f t="shared" si="20"/>
        <v/>
      </c>
    </row>
    <row r="1236" spans="12:12" x14ac:dyDescent="0.2">
      <c r="L1236" t="str">
        <f t="shared" si="20"/>
        <v/>
      </c>
    </row>
    <row r="1237" spans="12:12" x14ac:dyDescent="0.2">
      <c r="L1237" t="str">
        <f t="shared" si="20"/>
        <v/>
      </c>
    </row>
    <row r="1238" spans="12:12" x14ac:dyDescent="0.2">
      <c r="L1238" t="str">
        <f t="shared" si="20"/>
        <v/>
      </c>
    </row>
    <row r="1239" spans="12:12" x14ac:dyDescent="0.2">
      <c r="L1239" t="str">
        <f t="shared" si="20"/>
        <v/>
      </c>
    </row>
    <row r="1240" spans="12:12" x14ac:dyDescent="0.2">
      <c r="L1240" t="str">
        <f t="shared" si="20"/>
        <v/>
      </c>
    </row>
    <row r="1241" spans="12:12" x14ac:dyDescent="0.2">
      <c r="L1241" t="str">
        <f t="shared" si="20"/>
        <v/>
      </c>
    </row>
    <row r="1242" spans="12:12" x14ac:dyDescent="0.2">
      <c r="L1242" t="str">
        <f t="shared" si="20"/>
        <v/>
      </c>
    </row>
    <row r="1243" spans="12:12" x14ac:dyDescent="0.2">
      <c r="L1243" t="str">
        <f t="shared" si="20"/>
        <v/>
      </c>
    </row>
    <row r="1244" spans="12:12" x14ac:dyDescent="0.2">
      <c r="L1244" t="str">
        <f t="shared" si="20"/>
        <v/>
      </c>
    </row>
    <row r="1245" spans="12:12" x14ac:dyDescent="0.2">
      <c r="L1245" t="str">
        <f t="shared" si="20"/>
        <v/>
      </c>
    </row>
    <row r="1246" spans="12:12" x14ac:dyDescent="0.2">
      <c r="L1246" t="str">
        <f t="shared" si="20"/>
        <v/>
      </c>
    </row>
    <row r="1247" spans="12:12" x14ac:dyDescent="0.2">
      <c r="L1247" t="str">
        <f t="shared" si="20"/>
        <v/>
      </c>
    </row>
    <row r="1248" spans="12:12" x14ac:dyDescent="0.2">
      <c r="L1248" t="str">
        <f t="shared" si="20"/>
        <v/>
      </c>
    </row>
    <row r="1249" spans="12:12" x14ac:dyDescent="0.2">
      <c r="L1249" t="str">
        <f t="shared" si="20"/>
        <v/>
      </c>
    </row>
    <row r="1250" spans="12:12" x14ac:dyDescent="0.2">
      <c r="L1250" t="str">
        <f t="shared" si="20"/>
        <v/>
      </c>
    </row>
    <row r="1251" spans="12:12" x14ac:dyDescent="0.2">
      <c r="L1251" t="str">
        <f t="shared" si="20"/>
        <v/>
      </c>
    </row>
    <row r="1252" spans="12:12" x14ac:dyDescent="0.2">
      <c r="L1252" t="str">
        <f t="shared" si="20"/>
        <v/>
      </c>
    </row>
    <row r="1253" spans="12:12" x14ac:dyDescent="0.2">
      <c r="L1253" t="str">
        <f t="shared" si="20"/>
        <v/>
      </c>
    </row>
    <row r="1254" spans="12:12" x14ac:dyDescent="0.2">
      <c r="L1254" t="str">
        <f t="shared" si="20"/>
        <v/>
      </c>
    </row>
    <row r="1255" spans="12:12" x14ac:dyDescent="0.2">
      <c r="L1255" t="str">
        <f t="shared" si="20"/>
        <v/>
      </c>
    </row>
    <row r="1256" spans="12:12" x14ac:dyDescent="0.2">
      <c r="L1256" t="str">
        <f t="shared" si="20"/>
        <v/>
      </c>
    </row>
    <row r="1257" spans="12:12" x14ac:dyDescent="0.2">
      <c r="L1257" t="str">
        <f t="shared" si="20"/>
        <v/>
      </c>
    </row>
    <row r="1258" spans="12:12" x14ac:dyDescent="0.2">
      <c r="L1258" t="str">
        <f t="shared" si="20"/>
        <v/>
      </c>
    </row>
    <row r="1259" spans="12:12" x14ac:dyDescent="0.2">
      <c r="L1259" t="str">
        <f t="shared" si="20"/>
        <v/>
      </c>
    </row>
    <row r="1260" spans="12:12" x14ac:dyDescent="0.2">
      <c r="L1260" t="str">
        <f t="shared" si="20"/>
        <v/>
      </c>
    </row>
    <row r="1261" spans="12:12" x14ac:dyDescent="0.2">
      <c r="L1261" t="str">
        <f t="shared" si="20"/>
        <v/>
      </c>
    </row>
    <row r="1262" spans="12:12" x14ac:dyDescent="0.2">
      <c r="L1262" t="str">
        <f t="shared" si="20"/>
        <v/>
      </c>
    </row>
    <row r="1263" spans="12:12" x14ac:dyDescent="0.2">
      <c r="L1263" t="str">
        <f t="shared" si="20"/>
        <v/>
      </c>
    </row>
    <row r="1264" spans="12:12" x14ac:dyDescent="0.2">
      <c r="L1264" t="str">
        <f t="shared" si="20"/>
        <v/>
      </c>
    </row>
    <row r="1265" spans="12:12" x14ac:dyDescent="0.2">
      <c r="L1265" t="str">
        <f t="shared" si="20"/>
        <v/>
      </c>
    </row>
    <row r="1266" spans="12:12" x14ac:dyDescent="0.2">
      <c r="L1266" t="str">
        <f t="shared" si="20"/>
        <v/>
      </c>
    </row>
    <row r="1267" spans="12:12" x14ac:dyDescent="0.2">
      <c r="L1267" t="str">
        <f t="shared" si="20"/>
        <v/>
      </c>
    </row>
    <row r="1268" spans="12:12" x14ac:dyDescent="0.2">
      <c r="L1268" t="str">
        <f t="shared" si="20"/>
        <v/>
      </c>
    </row>
    <row r="1269" spans="12:12" x14ac:dyDescent="0.2">
      <c r="L1269" t="str">
        <f t="shared" si="20"/>
        <v/>
      </c>
    </row>
    <row r="1270" spans="12:12" x14ac:dyDescent="0.2">
      <c r="L1270" t="str">
        <f t="shared" si="20"/>
        <v/>
      </c>
    </row>
    <row r="1271" spans="12:12" x14ac:dyDescent="0.2">
      <c r="L1271" t="str">
        <f t="shared" si="20"/>
        <v/>
      </c>
    </row>
    <row r="1272" spans="12:12" x14ac:dyDescent="0.2">
      <c r="L1272" t="str">
        <f t="shared" si="20"/>
        <v/>
      </c>
    </row>
    <row r="1273" spans="12:12" x14ac:dyDescent="0.2">
      <c r="L1273" t="str">
        <f t="shared" si="20"/>
        <v/>
      </c>
    </row>
    <row r="1274" spans="12:12" x14ac:dyDescent="0.2">
      <c r="L1274" t="str">
        <f t="shared" si="20"/>
        <v/>
      </c>
    </row>
    <row r="1275" spans="12:12" x14ac:dyDescent="0.2">
      <c r="L1275" t="str">
        <f t="shared" si="20"/>
        <v/>
      </c>
    </row>
    <row r="1276" spans="12:12" x14ac:dyDescent="0.2">
      <c r="L1276" t="str">
        <f t="shared" si="20"/>
        <v/>
      </c>
    </row>
    <row r="1277" spans="12:12" x14ac:dyDescent="0.2">
      <c r="L1277" t="str">
        <f t="shared" si="20"/>
        <v/>
      </c>
    </row>
    <row r="1278" spans="12:12" x14ac:dyDescent="0.2">
      <c r="L1278" t="str">
        <f t="shared" si="20"/>
        <v/>
      </c>
    </row>
    <row r="1279" spans="12:12" x14ac:dyDescent="0.2">
      <c r="L1279" t="str">
        <f t="shared" si="20"/>
        <v/>
      </c>
    </row>
    <row r="1280" spans="12:12" x14ac:dyDescent="0.2">
      <c r="L1280" t="str">
        <f t="shared" si="20"/>
        <v/>
      </c>
    </row>
    <row r="1281" spans="12:12" x14ac:dyDescent="0.2">
      <c r="L1281" t="str">
        <f t="shared" si="20"/>
        <v/>
      </c>
    </row>
    <row r="1282" spans="12:12" x14ac:dyDescent="0.2">
      <c r="L1282" t="str">
        <f t="shared" si="20"/>
        <v/>
      </c>
    </row>
    <row r="1283" spans="12:12" x14ac:dyDescent="0.2">
      <c r="L1283" t="str">
        <f t="shared" si="20"/>
        <v/>
      </c>
    </row>
    <row r="1284" spans="12:12" x14ac:dyDescent="0.2">
      <c r="L1284" t="str">
        <f t="shared" ref="L1284:L1347" si="21">IF(L1283&lt;$I$15,L1283+$I$16,"")</f>
        <v/>
      </c>
    </row>
    <row r="1285" spans="12:12" x14ac:dyDescent="0.2">
      <c r="L1285" t="str">
        <f t="shared" si="21"/>
        <v/>
      </c>
    </row>
    <row r="1286" spans="12:12" x14ac:dyDescent="0.2">
      <c r="L1286" t="str">
        <f t="shared" si="21"/>
        <v/>
      </c>
    </row>
    <row r="1287" spans="12:12" x14ac:dyDescent="0.2">
      <c r="L1287" t="str">
        <f t="shared" si="21"/>
        <v/>
      </c>
    </row>
    <row r="1288" spans="12:12" x14ac:dyDescent="0.2">
      <c r="L1288" t="str">
        <f t="shared" si="21"/>
        <v/>
      </c>
    </row>
    <row r="1289" spans="12:12" x14ac:dyDescent="0.2">
      <c r="L1289" t="str">
        <f t="shared" si="21"/>
        <v/>
      </c>
    </row>
    <row r="1290" spans="12:12" x14ac:dyDescent="0.2">
      <c r="L1290" t="str">
        <f t="shared" si="21"/>
        <v/>
      </c>
    </row>
    <row r="1291" spans="12:12" x14ac:dyDescent="0.2">
      <c r="L1291" t="str">
        <f t="shared" si="21"/>
        <v/>
      </c>
    </row>
    <row r="1292" spans="12:12" x14ac:dyDescent="0.2">
      <c r="L1292" t="str">
        <f t="shared" si="21"/>
        <v/>
      </c>
    </row>
    <row r="1293" spans="12:12" x14ac:dyDescent="0.2">
      <c r="L1293" t="str">
        <f t="shared" si="21"/>
        <v/>
      </c>
    </row>
    <row r="1294" spans="12:12" x14ac:dyDescent="0.2">
      <c r="L1294" t="str">
        <f t="shared" si="21"/>
        <v/>
      </c>
    </row>
    <row r="1295" spans="12:12" x14ac:dyDescent="0.2">
      <c r="L1295" t="str">
        <f t="shared" si="21"/>
        <v/>
      </c>
    </row>
    <row r="1296" spans="12:12" x14ac:dyDescent="0.2">
      <c r="L1296" t="str">
        <f t="shared" si="21"/>
        <v/>
      </c>
    </row>
    <row r="1297" spans="12:12" x14ac:dyDescent="0.2">
      <c r="L1297" t="str">
        <f t="shared" si="21"/>
        <v/>
      </c>
    </row>
    <row r="1298" spans="12:12" x14ac:dyDescent="0.2">
      <c r="L1298" t="str">
        <f t="shared" si="21"/>
        <v/>
      </c>
    </row>
    <row r="1299" spans="12:12" x14ac:dyDescent="0.2">
      <c r="L1299" t="str">
        <f t="shared" si="21"/>
        <v/>
      </c>
    </row>
    <row r="1300" spans="12:12" x14ac:dyDescent="0.2">
      <c r="L1300" t="str">
        <f t="shared" si="21"/>
        <v/>
      </c>
    </row>
    <row r="1301" spans="12:12" x14ac:dyDescent="0.2">
      <c r="L1301" t="str">
        <f t="shared" si="21"/>
        <v/>
      </c>
    </row>
    <row r="1302" spans="12:12" x14ac:dyDescent="0.2">
      <c r="L1302" t="str">
        <f t="shared" si="21"/>
        <v/>
      </c>
    </row>
    <row r="1303" spans="12:12" x14ac:dyDescent="0.2">
      <c r="L1303" t="str">
        <f t="shared" si="21"/>
        <v/>
      </c>
    </row>
    <row r="1304" spans="12:12" x14ac:dyDescent="0.2">
      <c r="L1304" t="str">
        <f t="shared" si="21"/>
        <v/>
      </c>
    </row>
    <row r="1305" spans="12:12" x14ac:dyDescent="0.2">
      <c r="L1305" t="str">
        <f t="shared" si="21"/>
        <v/>
      </c>
    </row>
    <row r="1306" spans="12:12" x14ac:dyDescent="0.2">
      <c r="L1306" t="str">
        <f t="shared" si="21"/>
        <v/>
      </c>
    </row>
    <row r="1307" spans="12:12" x14ac:dyDescent="0.2">
      <c r="L1307" t="str">
        <f t="shared" si="21"/>
        <v/>
      </c>
    </row>
    <row r="1308" spans="12:12" x14ac:dyDescent="0.2">
      <c r="L1308" t="str">
        <f t="shared" si="21"/>
        <v/>
      </c>
    </row>
    <row r="1309" spans="12:12" x14ac:dyDescent="0.2">
      <c r="L1309" t="str">
        <f t="shared" si="21"/>
        <v/>
      </c>
    </row>
    <row r="1310" spans="12:12" x14ac:dyDescent="0.2">
      <c r="L1310" t="str">
        <f t="shared" si="21"/>
        <v/>
      </c>
    </row>
    <row r="1311" spans="12:12" x14ac:dyDescent="0.2">
      <c r="L1311" t="str">
        <f t="shared" si="21"/>
        <v/>
      </c>
    </row>
    <row r="1312" spans="12:12" x14ac:dyDescent="0.2">
      <c r="L1312" t="str">
        <f t="shared" si="21"/>
        <v/>
      </c>
    </row>
    <row r="1313" spans="12:12" x14ac:dyDescent="0.2">
      <c r="L1313" t="str">
        <f t="shared" si="21"/>
        <v/>
      </c>
    </row>
    <row r="1314" spans="12:12" x14ac:dyDescent="0.2">
      <c r="L1314" t="str">
        <f t="shared" si="21"/>
        <v/>
      </c>
    </row>
    <row r="1315" spans="12:12" x14ac:dyDescent="0.2">
      <c r="L1315" t="str">
        <f t="shared" si="21"/>
        <v/>
      </c>
    </row>
    <row r="1316" spans="12:12" x14ac:dyDescent="0.2">
      <c r="L1316" t="str">
        <f t="shared" si="21"/>
        <v/>
      </c>
    </row>
    <row r="1317" spans="12:12" x14ac:dyDescent="0.2">
      <c r="L1317" t="str">
        <f t="shared" si="21"/>
        <v/>
      </c>
    </row>
    <row r="1318" spans="12:12" x14ac:dyDescent="0.2">
      <c r="L1318" t="str">
        <f t="shared" si="21"/>
        <v/>
      </c>
    </row>
    <row r="1319" spans="12:12" x14ac:dyDescent="0.2">
      <c r="L1319" t="str">
        <f t="shared" si="21"/>
        <v/>
      </c>
    </row>
    <row r="1320" spans="12:12" x14ac:dyDescent="0.2">
      <c r="L1320" t="str">
        <f t="shared" si="21"/>
        <v/>
      </c>
    </row>
    <row r="1321" spans="12:12" x14ac:dyDescent="0.2">
      <c r="L1321" t="str">
        <f t="shared" si="21"/>
        <v/>
      </c>
    </row>
    <row r="1322" spans="12:12" x14ac:dyDescent="0.2">
      <c r="L1322" t="str">
        <f t="shared" si="21"/>
        <v/>
      </c>
    </row>
    <row r="1323" spans="12:12" x14ac:dyDescent="0.2">
      <c r="L1323" t="str">
        <f t="shared" si="21"/>
        <v/>
      </c>
    </row>
    <row r="1324" spans="12:12" x14ac:dyDescent="0.2">
      <c r="L1324" t="str">
        <f t="shared" si="21"/>
        <v/>
      </c>
    </row>
    <row r="1325" spans="12:12" x14ac:dyDescent="0.2">
      <c r="L1325" t="str">
        <f t="shared" si="21"/>
        <v/>
      </c>
    </row>
    <row r="1326" spans="12:12" x14ac:dyDescent="0.2">
      <c r="L1326" t="str">
        <f t="shared" si="21"/>
        <v/>
      </c>
    </row>
    <row r="1327" spans="12:12" x14ac:dyDescent="0.2">
      <c r="L1327" t="str">
        <f t="shared" si="21"/>
        <v/>
      </c>
    </row>
    <row r="1328" spans="12:12" x14ac:dyDescent="0.2">
      <c r="L1328" t="str">
        <f t="shared" si="21"/>
        <v/>
      </c>
    </row>
    <row r="1329" spans="12:12" x14ac:dyDescent="0.2">
      <c r="L1329" t="str">
        <f t="shared" si="21"/>
        <v/>
      </c>
    </row>
    <row r="1330" spans="12:12" x14ac:dyDescent="0.2">
      <c r="L1330" t="str">
        <f t="shared" si="21"/>
        <v/>
      </c>
    </row>
    <row r="1331" spans="12:12" x14ac:dyDescent="0.2">
      <c r="L1331" t="str">
        <f t="shared" si="21"/>
        <v/>
      </c>
    </row>
    <row r="1332" spans="12:12" x14ac:dyDescent="0.2">
      <c r="L1332" t="str">
        <f t="shared" si="21"/>
        <v/>
      </c>
    </row>
    <row r="1333" spans="12:12" x14ac:dyDescent="0.2">
      <c r="L1333" t="str">
        <f t="shared" si="21"/>
        <v/>
      </c>
    </row>
    <row r="1334" spans="12:12" x14ac:dyDescent="0.2">
      <c r="L1334" t="str">
        <f t="shared" si="21"/>
        <v/>
      </c>
    </row>
    <row r="1335" spans="12:12" x14ac:dyDescent="0.2">
      <c r="L1335" t="str">
        <f t="shared" si="21"/>
        <v/>
      </c>
    </row>
    <row r="1336" spans="12:12" x14ac:dyDescent="0.2">
      <c r="L1336" t="str">
        <f t="shared" si="21"/>
        <v/>
      </c>
    </row>
    <row r="1337" spans="12:12" x14ac:dyDescent="0.2">
      <c r="L1337" t="str">
        <f t="shared" si="21"/>
        <v/>
      </c>
    </row>
    <row r="1338" spans="12:12" x14ac:dyDescent="0.2">
      <c r="L1338" t="str">
        <f t="shared" si="21"/>
        <v/>
      </c>
    </row>
    <row r="1339" spans="12:12" x14ac:dyDescent="0.2">
      <c r="L1339" t="str">
        <f t="shared" si="21"/>
        <v/>
      </c>
    </row>
    <row r="1340" spans="12:12" x14ac:dyDescent="0.2">
      <c r="L1340" t="str">
        <f t="shared" si="21"/>
        <v/>
      </c>
    </row>
    <row r="1341" spans="12:12" x14ac:dyDescent="0.2">
      <c r="L1341" t="str">
        <f t="shared" si="21"/>
        <v/>
      </c>
    </row>
    <row r="1342" spans="12:12" x14ac:dyDescent="0.2">
      <c r="L1342" t="str">
        <f t="shared" si="21"/>
        <v/>
      </c>
    </row>
    <row r="1343" spans="12:12" x14ac:dyDescent="0.2">
      <c r="L1343" t="str">
        <f t="shared" si="21"/>
        <v/>
      </c>
    </row>
    <row r="1344" spans="12:12" x14ac:dyDescent="0.2">
      <c r="L1344" t="str">
        <f t="shared" si="21"/>
        <v/>
      </c>
    </row>
    <row r="1345" spans="12:12" x14ac:dyDescent="0.2">
      <c r="L1345" t="str">
        <f t="shared" si="21"/>
        <v/>
      </c>
    </row>
    <row r="1346" spans="12:12" x14ac:dyDescent="0.2">
      <c r="L1346" t="str">
        <f t="shared" si="21"/>
        <v/>
      </c>
    </row>
    <row r="1347" spans="12:12" x14ac:dyDescent="0.2">
      <c r="L1347" t="str">
        <f t="shared" si="21"/>
        <v/>
      </c>
    </row>
    <row r="1348" spans="12:12" x14ac:dyDescent="0.2">
      <c r="L1348" t="str">
        <f t="shared" ref="L1348:L1411" si="22">IF(L1347&lt;$I$15,L1347+$I$16,"")</f>
        <v/>
      </c>
    </row>
    <row r="1349" spans="12:12" x14ac:dyDescent="0.2">
      <c r="L1349" t="str">
        <f t="shared" si="22"/>
        <v/>
      </c>
    </row>
    <row r="1350" spans="12:12" x14ac:dyDescent="0.2">
      <c r="L1350" t="str">
        <f t="shared" si="22"/>
        <v/>
      </c>
    </row>
    <row r="1351" spans="12:12" x14ac:dyDescent="0.2">
      <c r="L1351" t="str">
        <f t="shared" si="22"/>
        <v/>
      </c>
    </row>
    <row r="1352" spans="12:12" x14ac:dyDescent="0.2">
      <c r="L1352" t="str">
        <f t="shared" si="22"/>
        <v/>
      </c>
    </row>
    <row r="1353" spans="12:12" x14ac:dyDescent="0.2">
      <c r="L1353" t="str">
        <f t="shared" si="22"/>
        <v/>
      </c>
    </row>
    <row r="1354" spans="12:12" x14ac:dyDescent="0.2">
      <c r="L1354" t="str">
        <f t="shared" si="22"/>
        <v/>
      </c>
    </row>
    <row r="1355" spans="12:12" x14ac:dyDescent="0.2">
      <c r="L1355" t="str">
        <f t="shared" si="22"/>
        <v/>
      </c>
    </row>
    <row r="1356" spans="12:12" x14ac:dyDescent="0.2">
      <c r="L1356" t="str">
        <f t="shared" si="22"/>
        <v/>
      </c>
    </row>
    <row r="1357" spans="12:12" x14ac:dyDescent="0.2">
      <c r="L1357" t="str">
        <f t="shared" si="22"/>
        <v/>
      </c>
    </row>
    <row r="1358" spans="12:12" x14ac:dyDescent="0.2">
      <c r="L1358" t="str">
        <f t="shared" si="22"/>
        <v/>
      </c>
    </row>
    <row r="1359" spans="12:12" x14ac:dyDescent="0.2">
      <c r="L1359" t="str">
        <f t="shared" si="22"/>
        <v/>
      </c>
    </row>
    <row r="1360" spans="12:12" x14ac:dyDescent="0.2">
      <c r="L1360" t="str">
        <f t="shared" si="22"/>
        <v/>
      </c>
    </row>
    <row r="1361" spans="12:12" x14ac:dyDescent="0.2">
      <c r="L1361" t="str">
        <f t="shared" si="22"/>
        <v/>
      </c>
    </row>
    <row r="1362" spans="12:12" x14ac:dyDescent="0.2">
      <c r="L1362" t="str">
        <f t="shared" si="22"/>
        <v/>
      </c>
    </row>
    <row r="1363" spans="12:12" x14ac:dyDescent="0.2">
      <c r="L1363" t="str">
        <f t="shared" si="22"/>
        <v/>
      </c>
    </row>
    <row r="1364" spans="12:12" x14ac:dyDescent="0.2">
      <c r="L1364" t="str">
        <f t="shared" si="22"/>
        <v/>
      </c>
    </row>
    <row r="1365" spans="12:12" x14ac:dyDescent="0.2">
      <c r="L1365" t="str">
        <f t="shared" si="22"/>
        <v/>
      </c>
    </row>
    <row r="1366" spans="12:12" x14ac:dyDescent="0.2">
      <c r="L1366" t="str">
        <f t="shared" si="22"/>
        <v/>
      </c>
    </row>
    <row r="1367" spans="12:12" x14ac:dyDescent="0.2">
      <c r="L1367" t="str">
        <f t="shared" si="22"/>
        <v/>
      </c>
    </row>
    <row r="1368" spans="12:12" x14ac:dyDescent="0.2">
      <c r="L1368" t="str">
        <f t="shared" si="22"/>
        <v/>
      </c>
    </row>
    <row r="1369" spans="12:12" x14ac:dyDescent="0.2">
      <c r="L1369" t="str">
        <f t="shared" si="22"/>
        <v/>
      </c>
    </row>
    <row r="1370" spans="12:12" x14ac:dyDescent="0.2">
      <c r="L1370" t="str">
        <f t="shared" si="22"/>
        <v/>
      </c>
    </row>
    <row r="1371" spans="12:12" x14ac:dyDescent="0.2">
      <c r="L1371" t="str">
        <f t="shared" si="22"/>
        <v/>
      </c>
    </row>
    <row r="1372" spans="12:12" x14ac:dyDescent="0.2">
      <c r="L1372" t="str">
        <f t="shared" si="22"/>
        <v/>
      </c>
    </row>
    <row r="1373" spans="12:12" x14ac:dyDescent="0.2">
      <c r="L1373" t="str">
        <f t="shared" si="22"/>
        <v/>
      </c>
    </row>
    <row r="1374" spans="12:12" x14ac:dyDescent="0.2">
      <c r="L1374" t="str">
        <f t="shared" si="22"/>
        <v/>
      </c>
    </row>
    <row r="1375" spans="12:12" x14ac:dyDescent="0.2">
      <c r="L1375" t="str">
        <f t="shared" si="22"/>
        <v/>
      </c>
    </row>
    <row r="1376" spans="12:12" x14ac:dyDescent="0.2">
      <c r="L1376" t="str">
        <f t="shared" si="22"/>
        <v/>
      </c>
    </row>
    <row r="1377" spans="12:12" x14ac:dyDescent="0.2">
      <c r="L1377" t="str">
        <f t="shared" si="22"/>
        <v/>
      </c>
    </row>
    <row r="1378" spans="12:12" x14ac:dyDescent="0.2">
      <c r="L1378" t="str">
        <f t="shared" si="22"/>
        <v/>
      </c>
    </row>
    <row r="1379" spans="12:12" x14ac:dyDescent="0.2">
      <c r="L1379" t="str">
        <f t="shared" si="22"/>
        <v/>
      </c>
    </row>
    <row r="1380" spans="12:12" x14ac:dyDescent="0.2">
      <c r="L1380" t="str">
        <f t="shared" si="22"/>
        <v/>
      </c>
    </row>
    <row r="1381" spans="12:12" x14ac:dyDescent="0.2">
      <c r="L1381" t="str">
        <f t="shared" si="22"/>
        <v/>
      </c>
    </row>
    <row r="1382" spans="12:12" x14ac:dyDescent="0.2">
      <c r="L1382" t="str">
        <f t="shared" si="22"/>
        <v/>
      </c>
    </row>
    <row r="1383" spans="12:12" x14ac:dyDescent="0.2">
      <c r="L1383" t="str">
        <f t="shared" si="22"/>
        <v/>
      </c>
    </row>
    <row r="1384" spans="12:12" x14ac:dyDescent="0.2">
      <c r="L1384" t="str">
        <f t="shared" si="22"/>
        <v/>
      </c>
    </row>
    <row r="1385" spans="12:12" x14ac:dyDescent="0.2">
      <c r="L1385" t="str">
        <f t="shared" si="22"/>
        <v/>
      </c>
    </row>
    <row r="1386" spans="12:12" x14ac:dyDescent="0.2">
      <c r="L1386" t="str">
        <f t="shared" si="22"/>
        <v/>
      </c>
    </row>
    <row r="1387" spans="12:12" x14ac:dyDescent="0.2">
      <c r="L1387" t="str">
        <f t="shared" si="22"/>
        <v/>
      </c>
    </row>
    <row r="1388" spans="12:12" x14ac:dyDescent="0.2">
      <c r="L1388" t="str">
        <f t="shared" si="22"/>
        <v/>
      </c>
    </row>
    <row r="1389" spans="12:12" x14ac:dyDescent="0.2">
      <c r="L1389" t="str">
        <f t="shared" si="22"/>
        <v/>
      </c>
    </row>
    <row r="1390" spans="12:12" x14ac:dyDescent="0.2">
      <c r="L1390" t="str">
        <f t="shared" si="22"/>
        <v/>
      </c>
    </row>
    <row r="1391" spans="12:12" x14ac:dyDescent="0.2">
      <c r="L1391" t="str">
        <f t="shared" si="22"/>
        <v/>
      </c>
    </row>
    <row r="1392" spans="12:12" x14ac:dyDescent="0.2">
      <c r="L1392" t="str">
        <f t="shared" si="22"/>
        <v/>
      </c>
    </row>
    <row r="1393" spans="12:12" x14ac:dyDescent="0.2">
      <c r="L1393" t="str">
        <f t="shared" si="22"/>
        <v/>
      </c>
    </row>
    <row r="1394" spans="12:12" x14ac:dyDescent="0.2">
      <c r="L1394" t="str">
        <f t="shared" si="22"/>
        <v/>
      </c>
    </row>
    <row r="1395" spans="12:12" x14ac:dyDescent="0.2">
      <c r="L1395" t="str">
        <f t="shared" si="22"/>
        <v/>
      </c>
    </row>
    <row r="1396" spans="12:12" x14ac:dyDescent="0.2">
      <c r="L1396" t="str">
        <f t="shared" si="22"/>
        <v/>
      </c>
    </row>
    <row r="1397" spans="12:12" x14ac:dyDescent="0.2">
      <c r="L1397" t="str">
        <f t="shared" si="22"/>
        <v/>
      </c>
    </row>
    <row r="1398" spans="12:12" x14ac:dyDescent="0.2">
      <c r="L1398" t="str">
        <f t="shared" si="22"/>
        <v/>
      </c>
    </row>
    <row r="1399" spans="12:12" x14ac:dyDescent="0.2">
      <c r="L1399" t="str">
        <f t="shared" si="22"/>
        <v/>
      </c>
    </row>
    <row r="1400" spans="12:12" x14ac:dyDescent="0.2">
      <c r="L1400" t="str">
        <f t="shared" si="22"/>
        <v/>
      </c>
    </row>
    <row r="1401" spans="12:12" x14ac:dyDescent="0.2">
      <c r="L1401" t="str">
        <f t="shared" si="22"/>
        <v/>
      </c>
    </row>
    <row r="1402" spans="12:12" x14ac:dyDescent="0.2">
      <c r="L1402" t="str">
        <f t="shared" si="22"/>
        <v/>
      </c>
    </row>
    <row r="1403" spans="12:12" x14ac:dyDescent="0.2">
      <c r="L1403" t="str">
        <f t="shared" si="22"/>
        <v/>
      </c>
    </row>
    <row r="1404" spans="12:12" x14ac:dyDescent="0.2">
      <c r="L1404" t="str">
        <f t="shared" si="22"/>
        <v/>
      </c>
    </row>
    <row r="1405" spans="12:12" x14ac:dyDescent="0.2">
      <c r="L1405" t="str">
        <f t="shared" si="22"/>
        <v/>
      </c>
    </row>
    <row r="1406" spans="12:12" x14ac:dyDescent="0.2">
      <c r="L1406" t="str">
        <f t="shared" si="22"/>
        <v/>
      </c>
    </row>
    <row r="1407" spans="12:12" x14ac:dyDescent="0.2">
      <c r="L1407" t="str">
        <f t="shared" si="22"/>
        <v/>
      </c>
    </row>
    <row r="1408" spans="12:12" x14ac:dyDescent="0.2">
      <c r="L1408" t="str">
        <f t="shared" si="22"/>
        <v/>
      </c>
    </row>
    <row r="1409" spans="12:12" x14ac:dyDescent="0.2">
      <c r="L1409" t="str">
        <f t="shared" si="22"/>
        <v/>
      </c>
    </row>
    <row r="1410" spans="12:12" x14ac:dyDescent="0.2">
      <c r="L1410" t="str">
        <f t="shared" si="22"/>
        <v/>
      </c>
    </row>
    <row r="1411" spans="12:12" x14ac:dyDescent="0.2">
      <c r="L1411" t="str">
        <f t="shared" si="22"/>
        <v/>
      </c>
    </row>
    <row r="1412" spans="12:12" x14ac:dyDescent="0.2">
      <c r="L1412" t="str">
        <f t="shared" ref="L1412:L1475" si="23">IF(L1411&lt;$I$15,L1411+$I$16,"")</f>
        <v/>
      </c>
    </row>
    <row r="1413" spans="12:12" x14ac:dyDescent="0.2">
      <c r="L1413" t="str">
        <f t="shared" si="23"/>
        <v/>
      </c>
    </row>
    <row r="1414" spans="12:12" x14ac:dyDescent="0.2">
      <c r="L1414" t="str">
        <f t="shared" si="23"/>
        <v/>
      </c>
    </row>
    <row r="1415" spans="12:12" x14ac:dyDescent="0.2">
      <c r="L1415" t="str">
        <f t="shared" si="23"/>
        <v/>
      </c>
    </row>
    <row r="1416" spans="12:12" x14ac:dyDescent="0.2">
      <c r="L1416" t="str">
        <f t="shared" si="23"/>
        <v/>
      </c>
    </row>
    <row r="1417" spans="12:12" x14ac:dyDescent="0.2">
      <c r="L1417" t="str">
        <f t="shared" si="23"/>
        <v/>
      </c>
    </row>
    <row r="1418" spans="12:12" x14ac:dyDescent="0.2">
      <c r="L1418" t="str">
        <f t="shared" si="23"/>
        <v/>
      </c>
    </row>
    <row r="1419" spans="12:12" x14ac:dyDescent="0.2">
      <c r="L1419" t="str">
        <f t="shared" si="23"/>
        <v/>
      </c>
    </row>
    <row r="1420" spans="12:12" x14ac:dyDescent="0.2">
      <c r="L1420" t="str">
        <f t="shared" si="23"/>
        <v/>
      </c>
    </row>
    <row r="1421" spans="12:12" x14ac:dyDescent="0.2">
      <c r="L1421" t="str">
        <f t="shared" si="23"/>
        <v/>
      </c>
    </row>
    <row r="1422" spans="12:12" x14ac:dyDescent="0.2">
      <c r="L1422" t="str">
        <f t="shared" si="23"/>
        <v/>
      </c>
    </row>
    <row r="1423" spans="12:12" x14ac:dyDescent="0.2">
      <c r="L1423" t="str">
        <f t="shared" si="23"/>
        <v/>
      </c>
    </row>
    <row r="1424" spans="12:12" x14ac:dyDescent="0.2">
      <c r="L1424" t="str">
        <f t="shared" si="23"/>
        <v/>
      </c>
    </row>
    <row r="1425" spans="12:12" x14ac:dyDescent="0.2">
      <c r="L1425" t="str">
        <f t="shared" si="23"/>
        <v/>
      </c>
    </row>
    <row r="1426" spans="12:12" x14ac:dyDescent="0.2">
      <c r="L1426" t="str">
        <f t="shared" si="23"/>
        <v/>
      </c>
    </row>
    <row r="1427" spans="12:12" x14ac:dyDescent="0.2">
      <c r="L1427" t="str">
        <f t="shared" si="23"/>
        <v/>
      </c>
    </row>
    <row r="1428" spans="12:12" x14ac:dyDescent="0.2">
      <c r="L1428" t="str">
        <f t="shared" si="23"/>
        <v/>
      </c>
    </row>
    <row r="1429" spans="12:12" x14ac:dyDescent="0.2">
      <c r="L1429" t="str">
        <f t="shared" si="23"/>
        <v/>
      </c>
    </row>
    <row r="1430" spans="12:12" x14ac:dyDescent="0.2">
      <c r="L1430" t="str">
        <f t="shared" si="23"/>
        <v/>
      </c>
    </row>
    <row r="1431" spans="12:12" x14ac:dyDescent="0.2">
      <c r="L1431" t="str">
        <f t="shared" si="23"/>
        <v/>
      </c>
    </row>
    <row r="1432" spans="12:12" x14ac:dyDescent="0.2">
      <c r="L1432" t="str">
        <f t="shared" si="23"/>
        <v/>
      </c>
    </row>
    <row r="1433" spans="12:12" x14ac:dyDescent="0.2">
      <c r="L1433" t="str">
        <f t="shared" si="23"/>
        <v/>
      </c>
    </row>
    <row r="1434" spans="12:12" x14ac:dyDescent="0.2">
      <c r="L1434" t="str">
        <f t="shared" si="23"/>
        <v/>
      </c>
    </row>
    <row r="1435" spans="12:12" x14ac:dyDescent="0.2">
      <c r="L1435" t="str">
        <f t="shared" si="23"/>
        <v/>
      </c>
    </row>
    <row r="1436" spans="12:12" x14ac:dyDescent="0.2">
      <c r="L1436" t="str">
        <f t="shared" si="23"/>
        <v/>
      </c>
    </row>
    <row r="1437" spans="12:12" x14ac:dyDescent="0.2">
      <c r="L1437" t="str">
        <f t="shared" si="23"/>
        <v/>
      </c>
    </row>
    <row r="1438" spans="12:12" x14ac:dyDescent="0.2">
      <c r="L1438" t="str">
        <f t="shared" si="23"/>
        <v/>
      </c>
    </row>
    <row r="1439" spans="12:12" x14ac:dyDescent="0.2">
      <c r="L1439" t="str">
        <f t="shared" si="23"/>
        <v/>
      </c>
    </row>
    <row r="1440" spans="12:12" x14ac:dyDescent="0.2">
      <c r="L1440" t="str">
        <f t="shared" si="23"/>
        <v/>
      </c>
    </row>
    <row r="1441" spans="12:12" x14ac:dyDescent="0.2">
      <c r="L1441" t="str">
        <f t="shared" si="23"/>
        <v/>
      </c>
    </row>
    <row r="1442" spans="12:12" x14ac:dyDescent="0.2">
      <c r="L1442" t="str">
        <f t="shared" si="23"/>
        <v/>
      </c>
    </row>
    <row r="1443" spans="12:12" x14ac:dyDescent="0.2">
      <c r="L1443" t="str">
        <f t="shared" si="23"/>
        <v/>
      </c>
    </row>
    <row r="1444" spans="12:12" x14ac:dyDescent="0.2">
      <c r="L1444" t="str">
        <f t="shared" si="23"/>
        <v/>
      </c>
    </row>
    <row r="1445" spans="12:12" x14ac:dyDescent="0.2">
      <c r="L1445" t="str">
        <f t="shared" si="23"/>
        <v/>
      </c>
    </row>
    <row r="1446" spans="12:12" x14ac:dyDescent="0.2">
      <c r="L1446" t="str">
        <f t="shared" si="23"/>
        <v/>
      </c>
    </row>
    <row r="1447" spans="12:12" x14ac:dyDescent="0.2">
      <c r="L1447" t="str">
        <f t="shared" si="23"/>
        <v/>
      </c>
    </row>
    <row r="1448" spans="12:12" x14ac:dyDescent="0.2">
      <c r="L1448" t="str">
        <f t="shared" si="23"/>
        <v/>
      </c>
    </row>
    <row r="1449" spans="12:12" x14ac:dyDescent="0.2">
      <c r="L1449" t="str">
        <f t="shared" si="23"/>
        <v/>
      </c>
    </row>
    <row r="1450" spans="12:12" x14ac:dyDescent="0.2">
      <c r="L1450" t="str">
        <f t="shared" si="23"/>
        <v/>
      </c>
    </row>
    <row r="1451" spans="12:12" x14ac:dyDescent="0.2">
      <c r="L1451" t="str">
        <f t="shared" si="23"/>
        <v/>
      </c>
    </row>
    <row r="1452" spans="12:12" x14ac:dyDescent="0.2">
      <c r="L1452" t="str">
        <f t="shared" si="23"/>
        <v/>
      </c>
    </row>
    <row r="1453" spans="12:12" x14ac:dyDescent="0.2">
      <c r="L1453" t="str">
        <f t="shared" si="23"/>
        <v/>
      </c>
    </row>
    <row r="1454" spans="12:12" x14ac:dyDescent="0.2">
      <c r="L1454" t="str">
        <f t="shared" si="23"/>
        <v/>
      </c>
    </row>
    <row r="1455" spans="12:12" x14ac:dyDescent="0.2">
      <c r="L1455" t="str">
        <f t="shared" si="23"/>
        <v/>
      </c>
    </row>
    <row r="1456" spans="12:12" x14ac:dyDescent="0.2">
      <c r="L1456" t="str">
        <f t="shared" si="23"/>
        <v/>
      </c>
    </row>
    <row r="1457" spans="12:12" x14ac:dyDescent="0.2">
      <c r="L1457" t="str">
        <f t="shared" si="23"/>
        <v/>
      </c>
    </row>
    <row r="1458" spans="12:12" x14ac:dyDescent="0.2">
      <c r="L1458" t="str">
        <f t="shared" si="23"/>
        <v/>
      </c>
    </row>
    <row r="1459" spans="12:12" x14ac:dyDescent="0.2">
      <c r="L1459" t="str">
        <f t="shared" si="23"/>
        <v/>
      </c>
    </row>
    <row r="1460" spans="12:12" x14ac:dyDescent="0.2">
      <c r="L1460" t="str">
        <f t="shared" si="23"/>
        <v/>
      </c>
    </row>
    <row r="1461" spans="12:12" x14ac:dyDescent="0.2">
      <c r="L1461" t="str">
        <f t="shared" si="23"/>
        <v/>
      </c>
    </row>
    <row r="1462" spans="12:12" x14ac:dyDescent="0.2">
      <c r="L1462" t="str">
        <f t="shared" si="23"/>
        <v/>
      </c>
    </row>
    <row r="1463" spans="12:12" x14ac:dyDescent="0.2">
      <c r="L1463" t="str">
        <f t="shared" si="23"/>
        <v/>
      </c>
    </row>
    <row r="1464" spans="12:12" x14ac:dyDescent="0.2">
      <c r="L1464" t="str">
        <f t="shared" si="23"/>
        <v/>
      </c>
    </row>
    <row r="1465" spans="12:12" x14ac:dyDescent="0.2">
      <c r="L1465" t="str">
        <f t="shared" si="23"/>
        <v/>
      </c>
    </row>
    <row r="1466" spans="12:12" x14ac:dyDescent="0.2">
      <c r="L1466" t="str">
        <f t="shared" si="23"/>
        <v/>
      </c>
    </row>
    <row r="1467" spans="12:12" x14ac:dyDescent="0.2">
      <c r="L1467" t="str">
        <f t="shared" si="23"/>
        <v/>
      </c>
    </row>
    <row r="1468" spans="12:12" x14ac:dyDescent="0.2">
      <c r="L1468" t="str">
        <f t="shared" si="23"/>
        <v/>
      </c>
    </row>
    <row r="1469" spans="12:12" x14ac:dyDescent="0.2">
      <c r="L1469" t="str">
        <f t="shared" si="23"/>
        <v/>
      </c>
    </row>
    <row r="1470" spans="12:12" x14ac:dyDescent="0.2">
      <c r="L1470" t="str">
        <f t="shared" si="23"/>
        <v/>
      </c>
    </row>
    <row r="1471" spans="12:12" x14ac:dyDescent="0.2">
      <c r="L1471" t="str">
        <f t="shared" si="23"/>
        <v/>
      </c>
    </row>
    <row r="1472" spans="12:12" x14ac:dyDescent="0.2">
      <c r="L1472" t="str">
        <f t="shared" si="23"/>
        <v/>
      </c>
    </row>
    <row r="1473" spans="12:12" x14ac:dyDescent="0.2">
      <c r="L1473" t="str">
        <f t="shared" si="23"/>
        <v/>
      </c>
    </row>
    <row r="1474" spans="12:12" x14ac:dyDescent="0.2">
      <c r="L1474" t="str">
        <f t="shared" si="23"/>
        <v/>
      </c>
    </row>
    <row r="1475" spans="12:12" x14ac:dyDescent="0.2">
      <c r="L1475" t="str">
        <f t="shared" si="23"/>
        <v/>
      </c>
    </row>
    <row r="1476" spans="12:12" x14ac:dyDescent="0.2">
      <c r="L1476" t="str">
        <f t="shared" ref="L1476:L1539" si="24">IF(L1475&lt;$I$15,L1475+$I$16,"")</f>
        <v/>
      </c>
    </row>
    <row r="1477" spans="12:12" x14ac:dyDescent="0.2">
      <c r="L1477" t="str">
        <f t="shared" si="24"/>
        <v/>
      </c>
    </row>
    <row r="1478" spans="12:12" x14ac:dyDescent="0.2">
      <c r="L1478" t="str">
        <f t="shared" si="24"/>
        <v/>
      </c>
    </row>
    <row r="1479" spans="12:12" x14ac:dyDescent="0.2">
      <c r="L1479" t="str">
        <f t="shared" si="24"/>
        <v/>
      </c>
    </row>
    <row r="1480" spans="12:12" x14ac:dyDescent="0.2">
      <c r="L1480" t="str">
        <f t="shared" si="24"/>
        <v/>
      </c>
    </row>
    <row r="1481" spans="12:12" x14ac:dyDescent="0.2">
      <c r="L1481" t="str">
        <f t="shared" si="24"/>
        <v/>
      </c>
    </row>
    <row r="1482" spans="12:12" x14ac:dyDescent="0.2">
      <c r="L1482" t="str">
        <f t="shared" si="24"/>
        <v/>
      </c>
    </row>
    <row r="1483" spans="12:12" x14ac:dyDescent="0.2">
      <c r="L1483" t="str">
        <f t="shared" si="24"/>
        <v/>
      </c>
    </row>
    <row r="1484" spans="12:12" x14ac:dyDescent="0.2">
      <c r="L1484" t="str">
        <f t="shared" si="24"/>
        <v/>
      </c>
    </row>
    <row r="1485" spans="12:12" x14ac:dyDescent="0.2">
      <c r="L1485" t="str">
        <f t="shared" si="24"/>
        <v/>
      </c>
    </row>
    <row r="1486" spans="12:12" x14ac:dyDescent="0.2">
      <c r="L1486" t="str">
        <f t="shared" si="24"/>
        <v/>
      </c>
    </row>
    <row r="1487" spans="12:12" x14ac:dyDescent="0.2">
      <c r="L1487" t="str">
        <f t="shared" si="24"/>
        <v/>
      </c>
    </row>
    <row r="1488" spans="12:12" x14ac:dyDescent="0.2">
      <c r="L1488" t="str">
        <f t="shared" si="24"/>
        <v/>
      </c>
    </row>
    <row r="1489" spans="12:12" x14ac:dyDescent="0.2">
      <c r="L1489" t="str">
        <f t="shared" si="24"/>
        <v/>
      </c>
    </row>
    <row r="1490" spans="12:12" x14ac:dyDescent="0.2">
      <c r="L1490" t="str">
        <f t="shared" si="24"/>
        <v/>
      </c>
    </row>
    <row r="1491" spans="12:12" x14ac:dyDescent="0.2">
      <c r="L1491" t="str">
        <f t="shared" si="24"/>
        <v/>
      </c>
    </row>
    <row r="1492" spans="12:12" x14ac:dyDescent="0.2">
      <c r="L1492" t="str">
        <f t="shared" si="24"/>
        <v/>
      </c>
    </row>
    <row r="1493" spans="12:12" x14ac:dyDescent="0.2">
      <c r="L1493" t="str">
        <f t="shared" si="24"/>
        <v/>
      </c>
    </row>
    <row r="1494" spans="12:12" x14ac:dyDescent="0.2">
      <c r="L1494" t="str">
        <f t="shared" si="24"/>
        <v/>
      </c>
    </row>
    <row r="1495" spans="12:12" x14ac:dyDescent="0.2">
      <c r="L1495" t="str">
        <f t="shared" si="24"/>
        <v/>
      </c>
    </row>
    <row r="1496" spans="12:12" x14ac:dyDescent="0.2">
      <c r="L1496" t="str">
        <f t="shared" si="24"/>
        <v/>
      </c>
    </row>
    <row r="1497" spans="12:12" x14ac:dyDescent="0.2">
      <c r="L1497" t="str">
        <f t="shared" si="24"/>
        <v/>
      </c>
    </row>
    <row r="1498" spans="12:12" x14ac:dyDescent="0.2">
      <c r="L1498" t="str">
        <f t="shared" si="24"/>
        <v/>
      </c>
    </row>
    <row r="1499" spans="12:12" x14ac:dyDescent="0.2">
      <c r="L1499" t="str">
        <f t="shared" si="24"/>
        <v/>
      </c>
    </row>
    <row r="1500" spans="12:12" x14ac:dyDescent="0.2">
      <c r="L1500" t="str">
        <f t="shared" si="24"/>
        <v/>
      </c>
    </row>
    <row r="1501" spans="12:12" x14ac:dyDescent="0.2">
      <c r="L1501" t="str">
        <f t="shared" si="24"/>
        <v/>
      </c>
    </row>
    <row r="1502" spans="12:12" x14ac:dyDescent="0.2">
      <c r="L1502" t="str">
        <f t="shared" si="24"/>
        <v/>
      </c>
    </row>
    <row r="1503" spans="12:12" x14ac:dyDescent="0.2">
      <c r="L1503" t="str">
        <f t="shared" si="24"/>
        <v/>
      </c>
    </row>
    <row r="1504" spans="12:12" x14ac:dyDescent="0.2">
      <c r="L1504" t="str">
        <f t="shared" si="24"/>
        <v/>
      </c>
    </row>
    <row r="1505" spans="12:12" x14ac:dyDescent="0.2">
      <c r="L1505" t="str">
        <f t="shared" si="24"/>
        <v/>
      </c>
    </row>
    <row r="1506" spans="12:12" x14ac:dyDescent="0.2">
      <c r="L1506" t="str">
        <f t="shared" si="24"/>
        <v/>
      </c>
    </row>
    <row r="1507" spans="12:12" x14ac:dyDescent="0.2">
      <c r="L1507" t="str">
        <f t="shared" si="24"/>
        <v/>
      </c>
    </row>
    <row r="1508" spans="12:12" x14ac:dyDescent="0.2">
      <c r="L1508" t="str">
        <f t="shared" si="24"/>
        <v/>
      </c>
    </row>
    <row r="1509" spans="12:12" x14ac:dyDescent="0.2">
      <c r="L1509" t="str">
        <f t="shared" si="24"/>
        <v/>
      </c>
    </row>
    <row r="1510" spans="12:12" x14ac:dyDescent="0.2">
      <c r="L1510" t="str">
        <f t="shared" si="24"/>
        <v/>
      </c>
    </row>
    <row r="1511" spans="12:12" x14ac:dyDescent="0.2">
      <c r="L1511" t="str">
        <f t="shared" si="24"/>
        <v/>
      </c>
    </row>
    <row r="1512" spans="12:12" x14ac:dyDescent="0.2">
      <c r="L1512" t="str">
        <f t="shared" si="24"/>
        <v/>
      </c>
    </row>
    <row r="1513" spans="12:12" x14ac:dyDescent="0.2">
      <c r="L1513" t="str">
        <f t="shared" si="24"/>
        <v/>
      </c>
    </row>
    <row r="1514" spans="12:12" x14ac:dyDescent="0.2">
      <c r="L1514" t="str">
        <f t="shared" si="24"/>
        <v/>
      </c>
    </row>
    <row r="1515" spans="12:12" x14ac:dyDescent="0.2">
      <c r="L1515" t="str">
        <f t="shared" si="24"/>
        <v/>
      </c>
    </row>
    <row r="1516" spans="12:12" x14ac:dyDescent="0.2">
      <c r="L1516" t="str">
        <f t="shared" si="24"/>
        <v/>
      </c>
    </row>
    <row r="1517" spans="12:12" x14ac:dyDescent="0.2">
      <c r="L1517" t="str">
        <f t="shared" si="24"/>
        <v/>
      </c>
    </row>
    <row r="1518" spans="12:12" x14ac:dyDescent="0.2">
      <c r="L1518" t="str">
        <f t="shared" si="24"/>
        <v/>
      </c>
    </row>
    <row r="1519" spans="12:12" x14ac:dyDescent="0.2">
      <c r="L1519" t="str">
        <f t="shared" si="24"/>
        <v/>
      </c>
    </row>
    <row r="1520" spans="12:12" x14ac:dyDescent="0.2">
      <c r="L1520" t="str">
        <f t="shared" si="24"/>
        <v/>
      </c>
    </row>
    <row r="1521" spans="12:12" x14ac:dyDescent="0.2">
      <c r="L1521" t="str">
        <f t="shared" si="24"/>
        <v/>
      </c>
    </row>
    <row r="1522" spans="12:12" x14ac:dyDescent="0.2">
      <c r="L1522" t="str">
        <f t="shared" si="24"/>
        <v/>
      </c>
    </row>
    <row r="1523" spans="12:12" x14ac:dyDescent="0.2">
      <c r="L1523" t="str">
        <f t="shared" si="24"/>
        <v/>
      </c>
    </row>
    <row r="1524" spans="12:12" x14ac:dyDescent="0.2">
      <c r="L1524" t="str">
        <f t="shared" si="24"/>
        <v/>
      </c>
    </row>
    <row r="1525" spans="12:12" x14ac:dyDescent="0.2">
      <c r="L1525" t="str">
        <f t="shared" si="24"/>
        <v/>
      </c>
    </row>
    <row r="1526" spans="12:12" x14ac:dyDescent="0.2">
      <c r="L1526" t="str">
        <f t="shared" si="24"/>
        <v/>
      </c>
    </row>
    <row r="1527" spans="12:12" x14ac:dyDescent="0.2">
      <c r="L1527" t="str">
        <f t="shared" si="24"/>
        <v/>
      </c>
    </row>
    <row r="1528" spans="12:12" x14ac:dyDescent="0.2">
      <c r="L1528" t="str">
        <f t="shared" si="24"/>
        <v/>
      </c>
    </row>
    <row r="1529" spans="12:12" x14ac:dyDescent="0.2">
      <c r="L1529" t="str">
        <f t="shared" si="24"/>
        <v/>
      </c>
    </row>
    <row r="1530" spans="12:12" x14ac:dyDescent="0.2">
      <c r="L1530" t="str">
        <f t="shared" si="24"/>
        <v/>
      </c>
    </row>
    <row r="1531" spans="12:12" x14ac:dyDescent="0.2">
      <c r="L1531" t="str">
        <f t="shared" si="24"/>
        <v/>
      </c>
    </row>
    <row r="1532" spans="12:12" x14ac:dyDescent="0.2">
      <c r="L1532" t="str">
        <f t="shared" si="24"/>
        <v/>
      </c>
    </row>
    <row r="1533" spans="12:12" x14ac:dyDescent="0.2">
      <c r="L1533" t="str">
        <f t="shared" si="24"/>
        <v/>
      </c>
    </row>
    <row r="1534" spans="12:12" x14ac:dyDescent="0.2">
      <c r="L1534" t="str">
        <f t="shared" si="24"/>
        <v/>
      </c>
    </row>
    <row r="1535" spans="12:12" x14ac:dyDescent="0.2">
      <c r="L1535" t="str">
        <f t="shared" si="24"/>
        <v/>
      </c>
    </row>
    <row r="1536" spans="12:12" x14ac:dyDescent="0.2">
      <c r="L1536" t="str">
        <f t="shared" si="24"/>
        <v/>
      </c>
    </row>
    <row r="1537" spans="12:12" x14ac:dyDescent="0.2">
      <c r="L1537" t="str">
        <f t="shared" si="24"/>
        <v/>
      </c>
    </row>
    <row r="1538" spans="12:12" x14ac:dyDescent="0.2">
      <c r="L1538" t="str">
        <f t="shared" si="24"/>
        <v/>
      </c>
    </row>
    <row r="1539" spans="12:12" x14ac:dyDescent="0.2">
      <c r="L1539" t="str">
        <f t="shared" si="24"/>
        <v/>
      </c>
    </row>
    <row r="1540" spans="12:12" x14ac:dyDescent="0.2">
      <c r="L1540" t="str">
        <f t="shared" ref="L1540:L1603" si="25">IF(L1539&lt;$I$15,L1539+$I$16,"")</f>
        <v/>
      </c>
    </row>
    <row r="1541" spans="12:12" x14ac:dyDescent="0.2">
      <c r="L1541" t="str">
        <f t="shared" si="25"/>
        <v/>
      </c>
    </row>
    <row r="1542" spans="12:12" x14ac:dyDescent="0.2">
      <c r="L1542" t="str">
        <f t="shared" si="25"/>
        <v/>
      </c>
    </row>
    <row r="1543" spans="12:12" x14ac:dyDescent="0.2">
      <c r="L1543" t="str">
        <f t="shared" si="25"/>
        <v/>
      </c>
    </row>
    <row r="1544" spans="12:12" x14ac:dyDescent="0.2">
      <c r="L1544" t="str">
        <f t="shared" si="25"/>
        <v/>
      </c>
    </row>
    <row r="1545" spans="12:12" x14ac:dyDescent="0.2">
      <c r="L1545" t="str">
        <f t="shared" si="25"/>
        <v/>
      </c>
    </row>
    <row r="1546" spans="12:12" x14ac:dyDescent="0.2">
      <c r="L1546" t="str">
        <f t="shared" si="25"/>
        <v/>
      </c>
    </row>
    <row r="1547" spans="12:12" x14ac:dyDescent="0.2">
      <c r="L1547" t="str">
        <f t="shared" si="25"/>
        <v/>
      </c>
    </row>
    <row r="1548" spans="12:12" x14ac:dyDescent="0.2">
      <c r="L1548" t="str">
        <f t="shared" si="25"/>
        <v/>
      </c>
    </row>
    <row r="1549" spans="12:12" x14ac:dyDescent="0.2">
      <c r="L1549" t="str">
        <f t="shared" si="25"/>
        <v/>
      </c>
    </row>
    <row r="1550" spans="12:12" x14ac:dyDescent="0.2">
      <c r="L1550" t="str">
        <f t="shared" si="25"/>
        <v/>
      </c>
    </row>
    <row r="1551" spans="12:12" x14ac:dyDescent="0.2">
      <c r="L1551" t="str">
        <f t="shared" si="25"/>
        <v/>
      </c>
    </row>
    <row r="1552" spans="12:12" x14ac:dyDescent="0.2">
      <c r="L1552" t="str">
        <f t="shared" si="25"/>
        <v/>
      </c>
    </row>
    <row r="1553" spans="12:12" x14ac:dyDescent="0.2">
      <c r="L1553" t="str">
        <f t="shared" si="25"/>
        <v/>
      </c>
    </row>
    <row r="1554" spans="12:12" x14ac:dyDescent="0.2">
      <c r="L1554" t="str">
        <f t="shared" si="25"/>
        <v/>
      </c>
    </row>
    <row r="1555" spans="12:12" x14ac:dyDescent="0.2">
      <c r="L1555" t="str">
        <f t="shared" si="25"/>
        <v/>
      </c>
    </row>
    <row r="1556" spans="12:12" x14ac:dyDescent="0.2">
      <c r="L1556" t="str">
        <f t="shared" si="25"/>
        <v/>
      </c>
    </row>
    <row r="1557" spans="12:12" x14ac:dyDescent="0.2">
      <c r="L1557" t="str">
        <f t="shared" si="25"/>
        <v/>
      </c>
    </row>
    <row r="1558" spans="12:12" x14ac:dyDescent="0.2">
      <c r="L1558" t="str">
        <f t="shared" si="25"/>
        <v/>
      </c>
    </row>
    <row r="1559" spans="12:12" x14ac:dyDescent="0.2">
      <c r="L1559" t="str">
        <f t="shared" si="25"/>
        <v/>
      </c>
    </row>
    <row r="1560" spans="12:12" x14ac:dyDescent="0.2">
      <c r="L1560" t="str">
        <f t="shared" si="25"/>
        <v/>
      </c>
    </row>
    <row r="1561" spans="12:12" x14ac:dyDescent="0.2">
      <c r="L1561" t="str">
        <f t="shared" si="25"/>
        <v/>
      </c>
    </row>
    <row r="1562" spans="12:12" x14ac:dyDescent="0.2">
      <c r="L1562" t="str">
        <f t="shared" si="25"/>
        <v/>
      </c>
    </row>
    <row r="1563" spans="12:12" x14ac:dyDescent="0.2">
      <c r="L1563" t="str">
        <f t="shared" si="25"/>
        <v/>
      </c>
    </row>
    <row r="1564" spans="12:12" x14ac:dyDescent="0.2">
      <c r="L1564" t="str">
        <f t="shared" si="25"/>
        <v/>
      </c>
    </row>
    <row r="1565" spans="12:12" x14ac:dyDescent="0.2">
      <c r="L1565" t="str">
        <f t="shared" si="25"/>
        <v/>
      </c>
    </row>
    <row r="1566" spans="12:12" x14ac:dyDescent="0.2">
      <c r="L1566" t="str">
        <f t="shared" si="25"/>
        <v/>
      </c>
    </row>
    <row r="1567" spans="12:12" x14ac:dyDescent="0.2">
      <c r="L1567" t="str">
        <f t="shared" si="25"/>
        <v/>
      </c>
    </row>
    <row r="1568" spans="12:12" x14ac:dyDescent="0.2">
      <c r="L1568" t="str">
        <f t="shared" si="25"/>
        <v/>
      </c>
    </row>
    <row r="1569" spans="12:12" x14ac:dyDescent="0.2">
      <c r="L1569" t="str">
        <f t="shared" si="25"/>
        <v/>
      </c>
    </row>
    <row r="1570" spans="12:12" x14ac:dyDescent="0.2">
      <c r="L1570" t="str">
        <f t="shared" si="25"/>
        <v/>
      </c>
    </row>
    <row r="1571" spans="12:12" x14ac:dyDescent="0.2">
      <c r="L1571" t="str">
        <f t="shared" si="25"/>
        <v/>
      </c>
    </row>
    <row r="1572" spans="12:12" x14ac:dyDescent="0.2">
      <c r="L1572" t="str">
        <f t="shared" si="25"/>
        <v/>
      </c>
    </row>
    <row r="1573" spans="12:12" x14ac:dyDescent="0.2">
      <c r="L1573" t="str">
        <f t="shared" si="25"/>
        <v/>
      </c>
    </row>
    <row r="1574" spans="12:12" x14ac:dyDescent="0.2">
      <c r="L1574" t="str">
        <f t="shared" si="25"/>
        <v/>
      </c>
    </row>
    <row r="1575" spans="12:12" x14ac:dyDescent="0.2">
      <c r="L1575" t="str">
        <f t="shared" si="25"/>
        <v/>
      </c>
    </row>
    <row r="1576" spans="12:12" x14ac:dyDescent="0.2">
      <c r="L1576" t="str">
        <f t="shared" si="25"/>
        <v/>
      </c>
    </row>
    <row r="1577" spans="12:12" x14ac:dyDescent="0.2">
      <c r="L1577" t="str">
        <f t="shared" si="25"/>
        <v/>
      </c>
    </row>
    <row r="1578" spans="12:12" x14ac:dyDescent="0.2">
      <c r="L1578" t="str">
        <f t="shared" si="25"/>
        <v/>
      </c>
    </row>
    <row r="1579" spans="12:12" x14ac:dyDescent="0.2">
      <c r="L1579" t="str">
        <f t="shared" si="25"/>
        <v/>
      </c>
    </row>
    <row r="1580" spans="12:12" x14ac:dyDescent="0.2">
      <c r="L1580" t="str">
        <f t="shared" si="25"/>
        <v/>
      </c>
    </row>
    <row r="1581" spans="12:12" x14ac:dyDescent="0.2">
      <c r="L1581" t="str">
        <f t="shared" si="25"/>
        <v/>
      </c>
    </row>
    <row r="1582" spans="12:12" x14ac:dyDescent="0.2">
      <c r="L1582" t="str">
        <f t="shared" si="25"/>
        <v/>
      </c>
    </row>
    <row r="1583" spans="12:12" x14ac:dyDescent="0.2">
      <c r="L1583" t="str">
        <f t="shared" si="25"/>
        <v/>
      </c>
    </row>
    <row r="1584" spans="12:12" x14ac:dyDescent="0.2">
      <c r="L1584" t="str">
        <f t="shared" si="25"/>
        <v/>
      </c>
    </row>
    <row r="1585" spans="12:12" x14ac:dyDescent="0.2">
      <c r="L1585" t="str">
        <f t="shared" si="25"/>
        <v/>
      </c>
    </row>
    <row r="1586" spans="12:12" x14ac:dyDescent="0.2">
      <c r="L1586" t="str">
        <f t="shared" si="25"/>
        <v/>
      </c>
    </row>
    <row r="1587" spans="12:12" x14ac:dyDescent="0.2">
      <c r="L1587" t="str">
        <f t="shared" si="25"/>
        <v/>
      </c>
    </row>
    <row r="1588" spans="12:12" x14ac:dyDescent="0.2">
      <c r="L1588" t="str">
        <f t="shared" si="25"/>
        <v/>
      </c>
    </row>
    <row r="1589" spans="12:12" x14ac:dyDescent="0.2">
      <c r="L1589" t="str">
        <f t="shared" si="25"/>
        <v/>
      </c>
    </row>
    <row r="1590" spans="12:12" x14ac:dyDescent="0.2">
      <c r="L1590" t="str">
        <f t="shared" si="25"/>
        <v/>
      </c>
    </row>
    <row r="1591" spans="12:12" x14ac:dyDescent="0.2">
      <c r="L1591" t="str">
        <f t="shared" si="25"/>
        <v/>
      </c>
    </row>
    <row r="1592" spans="12:12" x14ac:dyDescent="0.2">
      <c r="L1592" t="str">
        <f t="shared" si="25"/>
        <v/>
      </c>
    </row>
    <row r="1593" spans="12:12" x14ac:dyDescent="0.2">
      <c r="L1593" t="str">
        <f t="shared" si="25"/>
        <v/>
      </c>
    </row>
    <row r="1594" spans="12:12" x14ac:dyDescent="0.2">
      <c r="L1594" t="str">
        <f t="shared" si="25"/>
        <v/>
      </c>
    </row>
    <row r="1595" spans="12:12" x14ac:dyDescent="0.2">
      <c r="L1595" t="str">
        <f t="shared" si="25"/>
        <v/>
      </c>
    </row>
    <row r="1596" spans="12:12" x14ac:dyDescent="0.2">
      <c r="L1596" t="str">
        <f t="shared" si="25"/>
        <v/>
      </c>
    </row>
    <row r="1597" spans="12:12" x14ac:dyDescent="0.2">
      <c r="L1597" t="str">
        <f t="shared" si="25"/>
        <v/>
      </c>
    </row>
    <row r="1598" spans="12:12" x14ac:dyDescent="0.2">
      <c r="L1598" t="str">
        <f t="shared" si="25"/>
        <v/>
      </c>
    </row>
    <row r="1599" spans="12:12" x14ac:dyDescent="0.2">
      <c r="L1599" t="str">
        <f t="shared" si="25"/>
        <v/>
      </c>
    </row>
    <row r="1600" spans="12:12" x14ac:dyDescent="0.2">
      <c r="L1600" t="str">
        <f t="shared" si="25"/>
        <v/>
      </c>
    </row>
    <row r="1601" spans="12:12" x14ac:dyDescent="0.2">
      <c r="L1601" t="str">
        <f t="shared" si="25"/>
        <v/>
      </c>
    </row>
    <row r="1602" spans="12:12" x14ac:dyDescent="0.2">
      <c r="L1602" t="str">
        <f t="shared" si="25"/>
        <v/>
      </c>
    </row>
    <row r="1603" spans="12:12" x14ac:dyDescent="0.2">
      <c r="L1603" t="str">
        <f t="shared" si="25"/>
        <v/>
      </c>
    </row>
    <row r="1604" spans="12:12" x14ac:dyDescent="0.2">
      <c r="L1604" t="str">
        <f t="shared" ref="L1604:L1667" si="26">IF(L1603&lt;$I$15,L1603+$I$16,"")</f>
        <v/>
      </c>
    </row>
    <row r="1605" spans="12:12" x14ac:dyDescent="0.2">
      <c r="L1605" t="str">
        <f t="shared" si="26"/>
        <v/>
      </c>
    </row>
    <row r="1606" spans="12:12" x14ac:dyDescent="0.2">
      <c r="L1606" t="str">
        <f t="shared" si="26"/>
        <v/>
      </c>
    </row>
    <row r="1607" spans="12:12" x14ac:dyDescent="0.2">
      <c r="L1607" t="str">
        <f t="shared" si="26"/>
        <v/>
      </c>
    </row>
    <row r="1608" spans="12:12" x14ac:dyDescent="0.2">
      <c r="L1608" t="str">
        <f t="shared" si="26"/>
        <v/>
      </c>
    </row>
    <row r="1609" spans="12:12" x14ac:dyDescent="0.2">
      <c r="L1609" t="str">
        <f t="shared" si="26"/>
        <v/>
      </c>
    </row>
    <row r="1610" spans="12:12" x14ac:dyDescent="0.2">
      <c r="L1610" t="str">
        <f t="shared" si="26"/>
        <v/>
      </c>
    </row>
    <row r="1611" spans="12:12" x14ac:dyDescent="0.2">
      <c r="L1611" t="str">
        <f t="shared" si="26"/>
        <v/>
      </c>
    </row>
    <row r="1612" spans="12:12" x14ac:dyDescent="0.2">
      <c r="L1612" t="str">
        <f t="shared" si="26"/>
        <v/>
      </c>
    </row>
    <row r="1613" spans="12:12" x14ac:dyDescent="0.2">
      <c r="L1613" t="str">
        <f t="shared" si="26"/>
        <v/>
      </c>
    </row>
    <row r="1614" spans="12:12" x14ac:dyDescent="0.2">
      <c r="L1614" t="str">
        <f t="shared" si="26"/>
        <v/>
      </c>
    </row>
    <row r="1615" spans="12:12" x14ac:dyDescent="0.2">
      <c r="L1615" t="str">
        <f t="shared" si="26"/>
        <v/>
      </c>
    </row>
    <row r="1616" spans="12:12" x14ac:dyDescent="0.2">
      <c r="L1616" t="str">
        <f t="shared" si="26"/>
        <v/>
      </c>
    </row>
    <row r="1617" spans="12:12" x14ac:dyDescent="0.2">
      <c r="L1617" t="str">
        <f t="shared" si="26"/>
        <v/>
      </c>
    </row>
    <row r="1618" spans="12:12" x14ac:dyDescent="0.2">
      <c r="L1618" t="str">
        <f t="shared" si="26"/>
        <v/>
      </c>
    </row>
    <row r="1619" spans="12:12" x14ac:dyDescent="0.2">
      <c r="L1619" t="str">
        <f t="shared" si="26"/>
        <v/>
      </c>
    </row>
    <row r="1620" spans="12:12" x14ac:dyDescent="0.2">
      <c r="L1620" t="str">
        <f t="shared" si="26"/>
        <v/>
      </c>
    </row>
    <row r="1621" spans="12:12" x14ac:dyDescent="0.2">
      <c r="L1621" t="str">
        <f t="shared" si="26"/>
        <v/>
      </c>
    </row>
    <row r="1622" spans="12:12" x14ac:dyDescent="0.2">
      <c r="L1622" t="str">
        <f t="shared" si="26"/>
        <v/>
      </c>
    </row>
    <row r="1623" spans="12:12" x14ac:dyDescent="0.2">
      <c r="L1623" t="str">
        <f t="shared" si="26"/>
        <v/>
      </c>
    </row>
    <row r="1624" spans="12:12" x14ac:dyDescent="0.2">
      <c r="L1624" t="str">
        <f t="shared" si="26"/>
        <v/>
      </c>
    </row>
    <row r="1625" spans="12:12" x14ac:dyDescent="0.2">
      <c r="L1625" t="str">
        <f t="shared" si="26"/>
        <v/>
      </c>
    </row>
    <row r="1626" spans="12:12" x14ac:dyDescent="0.2">
      <c r="L1626" t="str">
        <f t="shared" si="26"/>
        <v/>
      </c>
    </row>
    <row r="1627" spans="12:12" x14ac:dyDescent="0.2">
      <c r="L1627" t="str">
        <f t="shared" si="26"/>
        <v/>
      </c>
    </row>
    <row r="1628" spans="12:12" x14ac:dyDescent="0.2">
      <c r="L1628" t="str">
        <f t="shared" si="26"/>
        <v/>
      </c>
    </row>
    <row r="1629" spans="12:12" x14ac:dyDescent="0.2">
      <c r="L1629" t="str">
        <f t="shared" si="26"/>
        <v/>
      </c>
    </row>
    <row r="1630" spans="12:12" x14ac:dyDescent="0.2">
      <c r="L1630" t="str">
        <f t="shared" si="26"/>
        <v/>
      </c>
    </row>
    <row r="1631" spans="12:12" x14ac:dyDescent="0.2">
      <c r="L1631" t="str">
        <f t="shared" si="26"/>
        <v/>
      </c>
    </row>
    <row r="1632" spans="12:12" x14ac:dyDescent="0.2">
      <c r="L1632" t="str">
        <f t="shared" si="26"/>
        <v/>
      </c>
    </row>
    <row r="1633" spans="12:12" x14ac:dyDescent="0.2">
      <c r="L1633" t="str">
        <f t="shared" si="26"/>
        <v/>
      </c>
    </row>
    <row r="1634" spans="12:12" x14ac:dyDescent="0.2">
      <c r="L1634" t="str">
        <f t="shared" si="26"/>
        <v/>
      </c>
    </row>
    <row r="1635" spans="12:12" x14ac:dyDescent="0.2">
      <c r="L1635" t="str">
        <f t="shared" si="26"/>
        <v/>
      </c>
    </row>
    <row r="1636" spans="12:12" x14ac:dyDescent="0.2">
      <c r="L1636" t="str">
        <f t="shared" si="26"/>
        <v/>
      </c>
    </row>
    <row r="1637" spans="12:12" x14ac:dyDescent="0.2">
      <c r="L1637" t="str">
        <f t="shared" si="26"/>
        <v/>
      </c>
    </row>
    <row r="1638" spans="12:12" x14ac:dyDescent="0.2">
      <c r="L1638" t="str">
        <f t="shared" si="26"/>
        <v/>
      </c>
    </row>
    <row r="1639" spans="12:12" x14ac:dyDescent="0.2">
      <c r="L1639" t="str">
        <f t="shared" si="26"/>
        <v/>
      </c>
    </row>
    <row r="1640" spans="12:12" x14ac:dyDescent="0.2">
      <c r="L1640" t="str">
        <f t="shared" si="26"/>
        <v/>
      </c>
    </row>
    <row r="1641" spans="12:12" x14ac:dyDescent="0.2">
      <c r="L1641" t="str">
        <f t="shared" si="26"/>
        <v/>
      </c>
    </row>
    <row r="1642" spans="12:12" x14ac:dyDescent="0.2">
      <c r="L1642" t="str">
        <f t="shared" si="26"/>
        <v/>
      </c>
    </row>
    <row r="1643" spans="12:12" x14ac:dyDescent="0.2">
      <c r="L1643" t="str">
        <f t="shared" si="26"/>
        <v/>
      </c>
    </row>
    <row r="1644" spans="12:12" x14ac:dyDescent="0.2">
      <c r="L1644" t="str">
        <f t="shared" si="26"/>
        <v/>
      </c>
    </row>
    <row r="1645" spans="12:12" x14ac:dyDescent="0.2">
      <c r="L1645" t="str">
        <f t="shared" si="26"/>
        <v/>
      </c>
    </row>
    <row r="1646" spans="12:12" x14ac:dyDescent="0.2">
      <c r="L1646" t="str">
        <f t="shared" si="26"/>
        <v/>
      </c>
    </row>
    <row r="1647" spans="12:12" x14ac:dyDescent="0.2">
      <c r="L1647" t="str">
        <f t="shared" si="26"/>
        <v/>
      </c>
    </row>
    <row r="1648" spans="12:12" x14ac:dyDescent="0.2">
      <c r="L1648" t="str">
        <f t="shared" si="26"/>
        <v/>
      </c>
    </row>
    <row r="1649" spans="12:12" x14ac:dyDescent="0.2">
      <c r="L1649" t="str">
        <f t="shared" si="26"/>
        <v/>
      </c>
    </row>
    <row r="1650" spans="12:12" x14ac:dyDescent="0.2">
      <c r="L1650" t="str">
        <f t="shared" si="26"/>
        <v/>
      </c>
    </row>
    <row r="1651" spans="12:12" x14ac:dyDescent="0.2">
      <c r="L1651" t="str">
        <f t="shared" si="26"/>
        <v/>
      </c>
    </row>
    <row r="1652" spans="12:12" x14ac:dyDescent="0.2">
      <c r="L1652" t="str">
        <f t="shared" si="26"/>
        <v/>
      </c>
    </row>
    <row r="1653" spans="12:12" x14ac:dyDescent="0.2">
      <c r="L1653" t="str">
        <f t="shared" si="26"/>
        <v/>
      </c>
    </row>
    <row r="1654" spans="12:12" x14ac:dyDescent="0.2">
      <c r="L1654" t="str">
        <f t="shared" si="26"/>
        <v/>
      </c>
    </row>
    <row r="1655" spans="12:12" x14ac:dyDescent="0.2">
      <c r="L1655" t="str">
        <f t="shared" si="26"/>
        <v/>
      </c>
    </row>
    <row r="1656" spans="12:12" x14ac:dyDescent="0.2">
      <c r="L1656" t="str">
        <f t="shared" si="26"/>
        <v/>
      </c>
    </row>
    <row r="1657" spans="12:12" x14ac:dyDescent="0.2">
      <c r="L1657" t="str">
        <f t="shared" si="26"/>
        <v/>
      </c>
    </row>
    <row r="1658" spans="12:12" x14ac:dyDescent="0.2">
      <c r="L1658" t="str">
        <f t="shared" si="26"/>
        <v/>
      </c>
    </row>
    <row r="1659" spans="12:12" x14ac:dyDescent="0.2">
      <c r="L1659" t="str">
        <f t="shared" si="26"/>
        <v/>
      </c>
    </row>
    <row r="1660" spans="12:12" x14ac:dyDescent="0.2">
      <c r="L1660" t="str">
        <f t="shared" si="26"/>
        <v/>
      </c>
    </row>
    <row r="1661" spans="12:12" x14ac:dyDescent="0.2">
      <c r="L1661" t="str">
        <f t="shared" si="26"/>
        <v/>
      </c>
    </row>
    <row r="1662" spans="12:12" x14ac:dyDescent="0.2">
      <c r="L1662" t="str">
        <f t="shared" si="26"/>
        <v/>
      </c>
    </row>
    <row r="1663" spans="12:12" x14ac:dyDescent="0.2">
      <c r="L1663" t="str">
        <f t="shared" si="26"/>
        <v/>
      </c>
    </row>
    <row r="1664" spans="12:12" x14ac:dyDescent="0.2">
      <c r="L1664" t="str">
        <f t="shared" si="26"/>
        <v/>
      </c>
    </row>
    <row r="1665" spans="12:12" x14ac:dyDescent="0.2">
      <c r="L1665" t="str">
        <f t="shared" si="26"/>
        <v/>
      </c>
    </row>
    <row r="1666" spans="12:12" x14ac:dyDescent="0.2">
      <c r="L1666" t="str">
        <f t="shared" si="26"/>
        <v/>
      </c>
    </row>
    <row r="1667" spans="12:12" x14ac:dyDescent="0.2">
      <c r="L1667" t="str">
        <f t="shared" si="26"/>
        <v/>
      </c>
    </row>
    <row r="1668" spans="12:12" x14ac:dyDescent="0.2">
      <c r="L1668" t="str">
        <f t="shared" ref="L1668:L1731" si="27">IF(L1667&lt;$I$15,L1667+$I$16,"")</f>
        <v/>
      </c>
    </row>
    <row r="1669" spans="12:12" x14ac:dyDescent="0.2">
      <c r="L1669" t="str">
        <f t="shared" si="27"/>
        <v/>
      </c>
    </row>
    <row r="1670" spans="12:12" x14ac:dyDescent="0.2">
      <c r="L1670" t="str">
        <f t="shared" si="27"/>
        <v/>
      </c>
    </row>
    <row r="1671" spans="12:12" x14ac:dyDescent="0.2">
      <c r="L1671" t="str">
        <f t="shared" si="27"/>
        <v/>
      </c>
    </row>
    <row r="1672" spans="12:12" x14ac:dyDescent="0.2">
      <c r="L1672" t="str">
        <f t="shared" si="27"/>
        <v/>
      </c>
    </row>
    <row r="1673" spans="12:12" x14ac:dyDescent="0.2">
      <c r="L1673" t="str">
        <f t="shared" si="27"/>
        <v/>
      </c>
    </row>
    <row r="1674" spans="12:12" x14ac:dyDescent="0.2">
      <c r="L1674" t="str">
        <f t="shared" si="27"/>
        <v/>
      </c>
    </row>
    <row r="1675" spans="12:12" x14ac:dyDescent="0.2">
      <c r="L1675" t="str">
        <f t="shared" si="27"/>
        <v/>
      </c>
    </row>
    <row r="1676" spans="12:12" x14ac:dyDescent="0.2">
      <c r="L1676" t="str">
        <f t="shared" si="27"/>
        <v/>
      </c>
    </row>
    <row r="1677" spans="12:12" x14ac:dyDescent="0.2">
      <c r="L1677" t="str">
        <f t="shared" si="27"/>
        <v/>
      </c>
    </row>
    <row r="1678" spans="12:12" x14ac:dyDescent="0.2">
      <c r="L1678" t="str">
        <f t="shared" si="27"/>
        <v/>
      </c>
    </row>
    <row r="1679" spans="12:12" x14ac:dyDescent="0.2">
      <c r="L1679" t="str">
        <f t="shared" si="27"/>
        <v/>
      </c>
    </row>
    <row r="1680" spans="12:12" x14ac:dyDescent="0.2">
      <c r="L1680" t="str">
        <f t="shared" si="27"/>
        <v/>
      </c>
    </row>
    <row r="1681" spans="12:12" x14ac:dyDescent="0.2">
      <c r="L1681" t="str">
        <f t="shared" si="27"/>
        <v/>
      </c>
    </row>
    <row r="1682" spans="12:12" x14ac:dyDescent="0.2">
      <c r="L1682" t="str">
        <f t="shared" si="27"/>
        <v/>
      </c>
    </row>
    <row r="1683" spans="12:12" x14ac:dyDescent="0.2">
      <c r="L1683" t="str">
        <f t="shared" si="27"/>
        <v/>
      </c>
    </row>
    <row r="1684" spans="12:12" x14ac:dyDescent="0.2">
      <c r="L1684" t="str">
        <f t="shared" si="27"/>
        <v/>
      </c>
    </row>
    <row r="1685" spans="12:12" x14ac:dyDescent="0.2">
      <c r="L1685" t="str">
        <f t="shared" si="27"/>
        <v/>
      </c>
    </row>
    <row r="1686" spans="12:12" x14ac:dyDescent="0.2">
      <c r="L1686" t="str">
        <f t="shared" si="27"/>
        <v/>
      </c>
    </row>
    <row r="1687" spans="12:12" x14ac:dyDescent="0.2">
      <c r="L1687" t="str">
        <f t="shared" si="27"/>
        <v/>
      </c>
    </row>
    <row r="1688" spans="12:12" x14ac:dyDescent="0.2">
      <c r="L1688" t="str">
        <f t="shared" si="27"/>
        <v/>
      </c>
    </row>
    <row r="1689" spans="12:12" x14ac:dyDescent="0.2">
      <c r="L1689" t="str">
        <f t="shared" si="27"/>
        <v/>
      </c>
    </row>
    <row r="1690" spans="12:12" x14ac:dyDescent="0.2">
      <c r="L1690" t="str">
        <f t="shared" si="27"/>
        <v/>
      </c>
    </row>
    <row r="1691" spans="12:12" x14ac:dyDescent="0.2">
      <c r="L1691" t="str">
        <f t="shared" si="27"/>
        <v/>
      </c>
    </row>
    <row r="1692" spans="12:12" x14ac:dyDescent="0.2">
      <c r="L1692" t="str">
        <f t="shared" si="27"/>
        <v/>
      </c>
    </row>
    <row r="1693" spans="12:12" x14ac:dyDescent="0.2">
      <c r="L1693" t="str">
        <f t="shared" si="27"/>
        <v/>
      </c>
    </row>
    <row r="1694" spans="12:12" x14ac:dyDescent="0.2">
      <c r="L1694" t="str">
        <f t="shared" si="27"/>
        <v/>
      </c>
    </row>
    <row r="1695" spans="12:12" x14ac:dyDescent="0.2">
      <c r="L1695" t="str">
        <f t="shared" si="27"/>
        <v/>
      </c>
    </row>
    <row r="1696" spans="12:12" x14ac:dyDescent="0.2">
      <c r="L1696" t="str">
        <f t="shared" si="27"/>
        <v/>
      </c>
    </row>
    <row r="1697" spans="12:12" x14ac:dyDescent="0.2">
      <c r="L1697" t="str">
        <f t="shared" si="27"/>
        <v/>
      </c>
    </row>
    <row r="1698" spans="12:12" x14ac:dyDescent="0.2">
      <c r="L1698" t="str">
        <f t="shared" si="27"/>
        <v/>
      </c>
    </row>
    <row r="1699" spans="12:12" x14ac:dyDescent="0.2">
      <c r="L1699" t="str">
        <f t="shared" si="27"/>
        <v/>
      </c>
    </row>
    <row r="1700" spans="12:12" x14ac:dyDescent="0.2">
      <c r="L1700" t="str">
        <f t="shared" si="27"/>
        <v/>
      </c>
    </row>
    <row r="1701" spans="12:12" x14ac:dyDescent="0.2">
      <c r="L1701" t="str">
        <f t="shared" si="27"/>
        <v/>
      </c>
    </row>
    <row r="1702" spans="12:12" x14ac:dyDescent="0.2">
      <c r="L1702" t="str">
        <f t="shared" si="27"/>
        <v/>
      </c>
    </row>
    <row r="1703" spans="12:12" x14ac:dyDescent="0.2">
      <c r="L1703" t="str">
        <f t="shared" si="27"/>
        <v/>
      </c>
    </row>
    <row r="1704" spans="12:12" x14ac:dyDescent="0.2">
      <c r="L1704" t="str">
        <f t="shared" si="27"/>
        <v/>
      </c>
    </row>
    <row r="1705" spans="12:12" x14ac:dyDescent="0.2">
      <c r="L1705" t="str">
        <f t="shared" si="27"/>
        <v/>
      </c>
    </row>
    <row r="1706" spans="12:12" x14ac:dyDescent="0.2">
      <c r="L1706" t="str">
        <f t="shared" si="27"/>
        <v/>
      </c>
    </row>
    <row r="1707" spans="12:12" x14ac:dyDescent="0.2">
      <c r="L1707" t="str">
        <f t="shared" si="27"/>
        <v/>
      </c>
    </row>
    <row r="1708" spans="12:12" x14ac:dyDescent="0.2">
      <c r="L1708" t="str">
        <f t="shared" si="27"/>
        <v/>
      </c>
    </row>
    <row r="1709" spans="12:12" x14ac:dyDescent="0.2">
      <c r="L1709" t="str">
        <f t="shared" si="27"/>
        <v/>
      </c>
    </row>
    <row r="1710" spans="12:12" x14ac:dyDescent="0.2">
      <c r="L1710" t="str">
        <f t="shared" si="27"/>
        <v/>
      </c>
    </row>
    <row r="1711" spans="12:12" x14ac:dyDescent="0.2">
      <c r="L1711" t="str">
        <f t="shared" si="27"/>
        <v/>
      </c>
    </row>
    <row r="1712" spans="12:12" x14ac:dyDescent="0.2">
      <c r="L1712" t="str">
        <f t="shared" si="27"/>
        <v/>
      </c>
    </row>
    <row r="1713" spans="12:12" x14ac:dyDescent="0.2">
      <c r="L1713" t="str">
        <f t="shared" si="27"/>
        <v/>
      </c>
    </row>
    <row r="1714" spans="12:12" x14ac:dyDescent="0.2">
      <c r="L1714" t="str">
        <f t="shared" si="27"/>
        <v/>
      </c>
    </row>
    <row r="1715" spans="12:12" x14ac:dyDescent="0.2">
      <c r="L1715" t="str">
        <f t="shared" si="27"/>
        <v/>
      </c>
    </row>
    <row r="1716" spans="12:12" x14ac:dyDescent="0.2">
      <c r="L1716" t="str">
        <f t="shared" si="27"/>
        <v/>
      </c>
    </row>
    <row r="1717" spans="12:12" x14ac:dyDescent="0.2">
      <c r="L1717" t="str">
        <f t="shared" si="27"/>
        <v/>
      </c>
    </row>
    <row r="1718" spans="12:12" x14ac:dyDescent="0.2">
      <c r="L1718" t="str">
        <f t="shared" si="27"/>
        <v/>
      </c>
    </row>
    <row r="1719" spans="12:12" x14ac:dyDescent="0.2">
      <c r="L1719" t="str">
        <f t="shared" si="27"/>
        <v/>
      </c>
    </row>
    <row r="1720" spans="12:12" x14ac:dyDescent="0.2">
      <c r="L1720" t="str">
        <f t="shared" si="27"/>
        <v/>
      </c>
    </row>
    <row r="1721" spans="12:12" x14ac:dyDescent="0.2">
      <c r="L1721" t="str">
        <f t="shared" si="27"/>
        <v/>
      </c>
    </row>
    <row r="1722" spans="12:12" x14ac:dyDescent="0.2">
      <c r="L1722" t="str">
        <f t="shared" si="27"/>
        <v/>
      </c>
    </row>
    <row r="1723" spans="12:12" x14ac:dyDescent="0.2">
      <c r="L1723" t="str">
        <f t="shared" si="27"/>
        <v/>
      </c>
    </row>
    <row r="1724" spans="12:12" x14ac:dyDescent="0.2">
      <c r="L1724" t="str">
        <f t="shared" si="27"/>
        <v/>
      </c>
    </row>
    <row r="1725" spans="12:12" x14ac:dyDescent="0.2">
      <c r="L1725" t="str">
        <f t="shared" si="27"/>
        <v/>
      </c>
    </row>
    <row r="1726" spans="12:12" x14ac:dyDescent="0.2">
      <c r="L1726" t="str">
        <f t="shared" si="27"/>
        <v/>
      </c>
    </row>
    <row r="1727" spans="12:12" x14ac:dyDescent="0.2">
      <c r="L1727" t="str">
        <f t="shared" si="27"/>
        <v/>
      </c>
    </row>
    <row r="1728" spans="12:12" x14ac:dyDescent="0.2">
      <c r="L1728" t="str">
        <f t="shared" si="27"/>
        <v/>
      </c>
    </row>
    <row r="1729" spans="12:12" x14ac:dyDescent="0.2">
      <c r="L1729" t="str">
        <f t="shared" si="27"/>
        <v/>
      </c>
    </row>
    <row r="1730" spans="12:12" x14ac:dyDescent="0.2">
      <c r="L1730" t="str">
        <f t="shared" si="27"/>
        <v/>
      </c>
    </row>
    <row r="1731" spans="12:12" x14ac:dyDescent="0.2">
      <c r="L1731" t="str">
        <f t="shared" si="27"/>
        <v/>
      </c>
    </row>
    <row r="1732" spans="12:12" x14ac:dyDescent="0.2">
      <c r="L1732" t="str">
        <f t="shared" ref="L1732:L1795" si="28">IF(L1731&lt;$I$15,L1731+$I$16,"")</f>
        <v/>
      </c>
    </row>
    <row r="1733" spans="12:12" x14ac:dyDescent="0.2">
      <c r="L1733" t="str">
        <f t="shared" si="28"/>
        <v/>
      </c>
    </row>
    <row r="1734" spans="12:12" x14ac:dyDescent="0.2">
      <c r="L1734" t="str">
        <f t="shared" si="28"/>
        <v/>
      </c>
    </row>
    <row r="1735" spans="12:12" x14ac:dyDescent="0.2">
      <c r="L1735" t="str">
        <f t="shared" si="28"/>
        <v/>
      </c>
    </row>
    <row r="1736" spans="12:12" x14ac:dyDescent="0.2">
      <c r="L1736" t="str">
        <f t="shared" si="28"/>
        <v/>
      </c>
    </row>
    <row r="1737" spans="12:12" x14ac:dyDescent="0.2">
      <c r="L1737" t="str">
        <f t="shared" si="28"/>
        <v/>
      </c>
    </row>
    <row r="1738" spans="12:12" x14ac:dyDescent="0.2">
      <c r="L1738" t="str">
        <f t="shared" si="28"/>
        <v/>
      </c>
    </row>
    <row r="1739" spans="12:12" x14ac:dyDescent="0.2">
      <c r="L1739" t="str">
        <f t="shared" si="28"/>
        <v/>
      </c>
    </row>
    <row r="1740" spans="12:12" x14ac:dyDescent="0.2">
      <c r="L1740" t="str">
        <f t="shared" si="28"/>
        <v/>
      </c>
    </row>
    <row r="1741" spans="12:12" x14ac:dyDescent="0.2">
      <c r="L1741" t="str">
        <f t="shared" si="28"/>
        <v/>
      </c>
    </row>
    <row r="1742" spans="12:12" x14ac:dyDescent="0.2">
      <c r="L1742" t="str">
        <f t="shared" si="28"/>
        <v/>
      </c>
    </row>
    <row r="1743" spans="12:12" x14ac:dyDescent="0.2">
      <c r="L1743" t="str">
        <f t="shared" si="28"/>
        <v/>
      </c>
    </row>
    <row r="1744" spans="12:12" x14ac:dyDescent="0.2">
      <c r="L1744" t="str">
        <f t="shared" si="28"/>
        <v/>
      </c>
    </row>
    <row r="1745" spans="12:12" x14ac:dyDescent="0.2">
      <c r="L1745" t="str">
        <f t="shared" si="28"/>
        <v/>
      </c>
    </row>
    <row r="1746" spans="12:12" x14ac:dyDescent="0.2">
      <c r="L1746" t="str">
        <f t="shared" si="28"/>
        <v/>
      </c>
    </row>
    <row r="1747" spans="12:12" x14ac:dyDescent="0.2">
      <c r="L1747" t="str">
        <f t="shared" si="28"/>
        <v/>
      </c>
    </row>
    <row r="1748" spans="12:12" x14ac:dyDescent="0.2">
      <c r="L1748" t="str">
        <f t="shared" si="28"/>
        <v/>
      </c>
    </row>
    <row r="1749" spans="12:12" x14ac:dyDescent="0.2">
      <c r="L1749" t="str">
        <f t="shared" si="28"/>
        <v/>
      </c>
    </row>
    <row r="1750" spans="12:12" x14ac:dyDescent="0.2">
      <c r="L1750" t="str">
        <f t="shared" si="28"/>
        <v/>
      </c>
    </row>
    <row r="1751" spans="12:12" x14ac:dyDescent="0.2">
      <c r="L1751" t="str">
        <f t="shared" si="28"/>
        <v/>
      </c>
    </row>
    <row r="1752" spans="12:12" x14ac:dyDescent="0.2">
      <c r="L1752" t="str">
        <f t="shared" si="28"/>
        <v/>
      </c>
    </row>
    <row r="1753" spans="12:12" x14ac:dyDescent="0.2">
      <c r="L1753" t="str">
        <f t="shared" si="28"/>
        <v/>
      </c>
    </row>
    <row r="1754" spans="12:12" x14ac:dyDescent="0.2">
      <c r="L1754" t="str">
        <f t="shared" si="28"/>
        <v/>
      </c>
    </row>
    <row r="1755" spans="12:12" x14ac:dyDescent="0.2">
      <c r="L1755" t="str">
        <f t="shared" si="28"/>
        <v/>
      </c>
    </row>
    <row r="1756" spans="12:12" x14ac:dyDescent="0.2">
      <c r="L1756" t="str">
        <f t="shared" si="28"/>
        <v/>
      </c>
    </row>
    <row r="1757" spans="12:12" x14ac:dyDescent="0.2">
      <c r="L1757" t="str">
        <f t="shared" si="28"/>
        <v/>
      </c>
    </row>
    <row r="1758" spans="12:12" x14ac:dyDescent="0.2">
      <c r="L1758" t="str">
        <f t="shared" si="28"/>
        <v/>
      </c>
    </row>
    <row r="1759" spans="12:12" x14ac:dyDescent="0.2">
      <c r="L1759" t="str">
        <f t="shared" si="28"/>
        <v/>
      </c>
    </row>
    <row r="1760" spans="12:12" x14ac:dyDescent="0.2">
      <c r="L1760" t="str">
        <f t="shared" si="28"/>
        <v/>
      </c>
    </row>
    <row r="1761" spans="12:12" x14ac:dyDescent="0.2">
      <c r="L1761" t="str">
        <f t="shared" si="28"/>
        <v/>
      </c>
    </row>
    <row r="1762" spans="12:12" x14ac:dyDescent="0.2">
      <c r="L1762" t="str">
        <f t="shared" si="28"/>
        <v/>
      </c>
    </row>
    <row r="1763" spans="12:12" x14ac:dyDescent="0.2">
      <c r="L1763" t="str">
        <f t="shared" si="28"/>
        <v/>
      </c>
    </row>
    <row r="1764" spans="12:12" x14ac:dyDescent="0.2">
      <c r="L1764" t="str">
        <f t="shared" si="28"/>
        <v/>
      </c>
    </row>
    <row r="1765" spans="12:12" x14ac:dyDescent="0.2">
      <c r="L1765" t="str">
        <f t="shared" si="28"/>
        <v/>
      </c>
    </row>
    <row r="1766" spans="12:12" x14ac:dyDescent="0.2">
      <c r="L1766" t="str">
        <f t="shared" si="28"/>
        <v/>
      </c>
    </row>
    <row r="1767" spans="12:12" x14ac:dyDescent="0.2">
      <c r="L1767" t="str">
        <f t="shared" si="28"/>
        <v/>
      </c>
    </row>
    <row r="1768" spans="12:12" x14ac:dyDescent="0.2">
      <c r="L1768" t="str">
        <f t="shared" si="28"/>
        <v/>
      </c>
    </row>
    <row r="1769" spans="12:12" x14ac:dyDescent="0.2">
      <c r="L1769" t="str">
        <f t="shared" si="28"/>
        <v/>
      </c>
    </row>
    <row r="1770" spans="12:12" x14ac:dyDescent="0.2">
      <c r="L1770" t="str">
        <f t="shared" si="28"/>
        <v/>
      </c>
    </row>
    <row r="1771" spans="12:12" x14ac:dyDescent="0.2">
      <c r="L1771" t="str">
        <f t="shared" si="28"/>
        <v/>
      </c>
    </row>
    <row r="1772" spans="12:12" x14ac:dyDescent="0.2">
      <c r="L1772" t="str">
        <f t="shared" si="28"/>
        <v/>
      </c>
    </row>
    <row r="1773" spans="12:12" x14ac:dyDescent="0.2">
      <c r="L1773" t="str">
        <f t="shared" si="28"/>
        <v/>
      </c>
    </row>
    <row r="1774" spans="12:12" x14ac:dyDescent="0.2">
      <c r="L1774" t="str">
        <f t="shared" si="28"/>
        <v/>
      </c>
    </row>
    <row r="1775" spans="12:12" x14ac:dyDescent="0.2">
      <c r="L1775" t="str">
        <f t="shared" si="28"/>
        <v/>
      </c>
    </row>
    <row r="1776" spans="12:12" x14ac:dyDescent="0.2">
      <c r="L1776" t="str">
        <f t="shared" si="28"/>
        <v/>
      </c>
    </row>
    <row r="1777" spans="12:12" x14ac:dyDescent="0.2">
      <c r="L1777" t="str">
        <f t="shared" si="28"/>
        <v/>
      </c>
    </row>
    <row r="1778" spans="12:12" x14ac:dyDescent="0.2">
      <c r="L1778" t="str">
        <f t="shared" si="28"/>
        <v/>
      </c>
    </row>
    <row r="1779" spans="12:12" x14ac:dyDescent="0.2">
      <c r="L1779" t="str">
        <f t="shared" si="28"/>
        <v/>
      </c>
    </row>
    <row r="1780" spans="12:12" x14ac:dyDescent="0.2">
      <c r="L1780" t="str">
        <f t="shared" si="28"/>
        <v/>
      </c>
    </row>
    <row r="1781" spans="12:12" x14ac:dyDescent="0.2">
      <c r="L1781" t="str">
        <f t="shared" si="28"/>
        <v/>
      </c>
    </row>
    <row r="1782" spans="12:12" x14ac:dyDescent="0.2">
      <c r="L1782" t="str">
        <f t="shared" si="28"/>
        <v/>
      </c>
    </row>
    <row r="1783" spans="12:12" x14ac:dyDescent="0.2">
      <c r="L1783" t="str">
        <f t="shared" si="28"/>
        <v/>
      </c>
    </row>
    <row r="1784" spans="12:12" x14ac:dyDescent="0.2">
      <c r="L1784" t="str">
        <f t="shared" si="28"/>
        <v/>
      </c>
    </row>
    <row r="1785" spans="12:12" x14ac:dyDescent="0.2">
      <c r="L1785" t="str">
        <f t="shared" si="28"/>
        <v/>
      </c>
    </row>
    <row r="1786" spans="12:12" x14ac:dyDescent="0.2">
      <c r="L1786" t="str">
        <f t="shared" si="28"/>
        <v/>
      </c>
    </row>
    <row r="1787" spans="12:12" x14ac:dyDescent="0.2">
      <c r="L1787" t="str">
        <f t="shared" si="28"/>
        <v/>
      </c>
    </row>
    <row r="1788" spans="12:12" x14ac:dyDescent="0.2">
      <c r="L1788" t="str">
        <f t="shared" si="28"/>
        <v/>
      </c>
    </row>
    <row r="1789" spans="12:12" x14ac:dyDescent="0.2">
      <c r="L1789" t="str">
        <f t="shared" si="28"/>
        <v/>
      </c>
    </row>
    <row r="1790" spans="12:12" x14ac:dyDescent="0.2">
      <c r="L1790" t="str">
        <f t="shared" si="28"/>
        <v/>
      </c>
    </row>
    <row r="1791" spans="12:12" x14ac:dyDescent="0.2">
      <c r="L1791" t="str">
        <f t="shared" si="28"/>
        <v/>
      </c>
    </row>
    <row r="1792" spans="12:12" x14ac:dyDescent="0.2">
      <c r="L1792" t="str">
        <f t="shared" si="28"/>
        <v/>
      </c>
    </row>
    <row r="1793" spans="12:12" x14ac:dyDescent="0.2">
      <c r="L1793" t="str">
        <f t="shared" si="28"/>
        <v/>
      </c>
    </row>
    <row r="1794" spans="12:12" x14ac:dyDescent="0.2">
      <c r="L1794" t="str">
        <f t="shared" si="28"/>
        <v/>
      </c>
    </row>
    <row r="1795" spans="12:12" x14ac:dyDescent="0.2">
      <c r="L1795" t="str">
        <f t="shared" si="28"/>
        <v/>
      </c>
    </row>
    <row r="1796" spans="12:12" x14ac:dyDescent="0.2">
      <c r="L1796" t="str">
        <f t="shared" ref="L1796:L1859" si="29">IF(L1795&lt;$I$15,L1795+$I$16,"")</f>
        <v/>
      </c>
    </row>
    <row r="1797" spans="12:12" x14ac:dyDescent="0.2">
      <c r="L1797" t="str">
        <f t="shared" si="29"/>
        <v/>
      </c>
    </row>
    <row r="1798" spans="12:12" x14ac:dyDescent="0.2">
      <c r="L1798" t="str">
        <f t="shared" si="29"/>
        <v/>
      </c>
    </row>
    <row r="1799" spans="12:12" x14ac:dyDescent="0.2">
      <c r="L1799" t="str">
        <f t="shared" si="29"/>
        <v/>
      </c>
    </row>
    <row r="1800" spans="12:12" x14ac:dyDescent="0.2">
      <c r="L1800" t="str">
        <f t="shared" si="29"/>
        <v/>
      </c>
    </row>
    <row r="1801" spans="12:12" x14ac:dyDescent="0.2">
      <c r="L1801" t="str">
        <f t="shared" si="29"/>
        <v/>
      </c>
    </row>
    <row r="1802" spans="12:12" x14ac:dyDescent="0.2">
      <c r="L1802" t="str">
        <f t="shared" si="29"/>
        <v/>
      </c>
    </row>
    <row r="1803" spans="12:12" x14ac:dyDescent="0.2">
      <c r="L1803" t="str">
        <f t="shared" si="29"/>
        <v/>
      </c>
    </row>
    <row r="1804" spans="12:12" x14ac:dyDescent="0.2">
      <c r="L1804" t="str">
        <f t="shared" si="29"/>
        <v/>
      </c>
    </row>
    <row r="1805" spans="12:12" x14ac:dyDescent="0.2">
      <c r="L1805" t="str">
        <f t="shared" si="29"/>
        <v/>
      </c>
    </row>
    <row r="1806" spans="12:12" x14ac:dyDescent="0.2">
      <c r="L1806" t="str">
        <f t="shared" si="29"/>
        <v/>
      </c>
    </row>
    <row r="1807" spans="12:12" x14ac:dyDescent="0.2">
      <c r="L1807" t="str">
        <f t="shared" si="29"/>
        <v/>
      </c>
    </row>
    <row r="1808" spans="12:12" x14ac:dyDescent="0.2">
      <c r="L1808" t="str">
        <f t="shared" si="29"/>
        <v/>
      </c>
    </row>
    <row r="1809" spans="12:12" x14ac:dyDescent="0.2">
      <c r="L1809" t="str">
        <f t="shared" si="29"/>
        <v/>
      </c>
    </row>
    <row r="1810" spans="12:12" x14ac:dyDescent="0.2">
      <c r="L1810" t="str">
        <f t="shared" si="29"/>
        <v/>
      </c>
    </row>
    <row r="1811" spans="12:12" x14ac:dyDescent="0.2">
      <c r="L1811" t="str">
        <f t="shared" si="29"/>
        <v/>
      </c>
    </row>
    <row r="1812" spans="12:12" x14ac:dyDescent="0.2">
      <c r="L1812" t="str">
        <f t="shared" si="29"/>
        <v/>
      </c>
    </row>
    <row r="1813" spans="12:12" x14ac:dyDescent="0.2">
      <c r="L1813" t="str">
        <f t="shared" si="29"/>
        <v/>
      </c>
    </row>
    <row r="1814" spans="12:12" x14ac:dyDescent="0.2">
      <c r="L1814" t="str">
        <f t="shared" si="29"/>
        <v/>
      </c>
    </row>
    <row r="1815" spans="12:12" x14ac:dyDescent="0.2">
      <c r="L1815" t="str">
        <f t="shared" si="29"/>
        <v/>
      </c>
    </row>
    <row r="1816" spans="12:12" x14ac:dyDescent="0.2">
      <c r="L1816" t="str">
        <f t="shared" si="29"/>
        <v/>
      </c>
    </row>
    <row r="1817" spans="12:12" x14ac:dyDescent="0.2">
      <c r="L1817" t="str">
        <f t="shared" si="29"/>
        <v/>
      </c>
    </row>
    <row r="1818" spans="12:12" x14ac:dyDescent="0.2">
      <c r="L1818" t="str">
        <f t="shared" si="29"/>
        <v/>
      </c>
    </row>
    <row r="1819" spans="12:12" x14ac:dyDescent="0.2">
      <c r="L1819" t="str">
        <f t="shared" si="29"/>
        <v/>
      </c>
    </row>
    <row r="1820" spans="12:12" x14ac:dyDescent="0.2">
      <c r="L1820" t="str">
        <f t="shared" si="29"/>
        <v/>
      </c>
    </row>
    <row r="1821" spans="12:12" x14ac:dyDescent="0.2">
      <c r="L1821" t="str">
        <f t="shared" si="29"/>
        <v/>
      </c>
    </row>
    <row r="1822" spans="12:12" x14ac:dyDescent="0.2">
      <c r="L1822" t="str">
        <f t="shared" si="29"/>
        <v/>
      </c>
    </row>
    <row r="1823" spans="12:12" x14ac:dyDescent="0.2">
      <c r="L1823" t="str">
        <f t="shared" si="29"/>
        <v/>
      </c>
    </row>
    <row r="1824" spans="12:12" x14ac:dyDescent="0.2">
      <c r="L1824" t="str">
        <f t="shared" si="29"/>
        <v/>
      </c>
    </row>
    <row r="1825" spans="12:12" x14ac:dyDescent="0.2">
      <c r="L1825" t="str">
        <f t="shared" si="29"/>
        <v/>
      </c>
    </row>
    <row r="1826" spans="12:12" x14ac:dyDescent="0.2">
      <c r="L1826" t="str">
        <f t="shared" si="29"/>
        <v/>
      </c>
    </row>
    <row r="1827" spans="12:12" x14ac:dyDescent="0.2">
      <c r="L1827" t="str">
        <f t="shared" si="29"/>
        <v/>
      </c>
    </row>
    <row r="1828" spans="12:12" x14ac:dyDescent="0.2">
      <c r="L1828" t="str">
        <f t="shared" si="29"/>
        <v/>
      </c>
    </row>
    <row r="1829" spans="12:12" x14ac:dyDescent="0.2">
      <c r="L1829" t="str">
        <f t="shared" si="29"/>
        <v/>
      </c>
    </row>
    <row r="1830" spans="12:12" x14ac:dyDescent="0.2">
      <c r="L1830" t="str">
        <f t="shared" si="29"/>
        <v/>
      </c>
    </row>
    <row r="1831" spans="12:12" x14ac:dyDescent="0.2">
      <c r="L1831" t="str">
        <f t="shared" si="29"/>
        <v/>
      </c>
    </row>
    <row r="1832" spans="12:12" x14ac:dyDescent="0.2">
      <c r="L1832" t="str">
        <f t="shared" si="29"/>
        <v/>
      </c>
    </row>
    <row r="1833" spans="12:12" x14ac:dyDescent="0.2">
      <c r="L1833" t="str">
        <f t="shared" si="29"/>
        <v/>
      </c>
    </row>
    <row r="1834" spans="12:12" x14ac:dyDescent="0.2">
      <c r="L1834" t="str">
        <f t="shared" si="29"/>
        <v/>
      </c>
    </row>
    <row r="1835" spans="12:12" x14ac:dyDescent="0.2">
      <c r="L1835" t="str">
        <f t="shared" si="29"/>
        <v/>
      </c>
    </row>
    <row r="1836" spans="12:12" x14ac:dyDescent="0.2">
      <c r="L1836" t="str">
        <f t="shared" si="29"/>
        <v/>
      </c>
    </row>
    <row r="1837" spans="12:12" x14ac:dyDescent="0.2">
      <c r="L1837" t="str">
        <f t="shared" si="29"/>
        <v/>
      </c>
    </row>
    <row r="1838" spans="12:12" x14ac:dyDescent="0.2">
      <c r="L1838" t="str">
        <f t="shared" si="29"/>
        <v/>
      </c>
    </row>
    <row r="1839" spans="12:12" x14ac:dyDescent="0.2">
      <c r="L1839" t="str">
        <f t="shared" si="29"/>
        <v/>
      </c>
    </row>
    <row r="1840" spans="12:12" x14ac:dyDescent="0.2">
      <c r="L1840" t="str">
        <f t="shared" si="29"/>
        <v/>
      </c>
    </row>
    <row r="1841" spans="12:12" x14ac:dyDescent="0.2">
      <c r="L1841" t="str">
        <f t="shared" si="29"/>
        <v/>
      </c>
    </row>
    <row r="1842" spans="12:12" x14ac:dyDescent="0.2">
      <c r="L1842" t="str">
        <f t="shared" si="29"/>
        <v/>
      </c>
    </row>
    <row r="1843" spans="12:12" x14ac:dyDescent="0.2">
      <c r="L1843" t="str">
        <f t="shared" si="29"/>
        <v/>
      </c>
    </row>
    <row r="1844" spans="12:12" x14ac:dyDescent="0.2">
      <c r="L1844" t="str">
        <f t="shared" si="29"/>
        <v/>
      </c>
    </row>
    <row r="1845" spans="12:12" x14ac:dyDescent="0.2">
      <c r="L1845" t="str">
        <f t="shared" si="29"/>
        <v/>
      </c>
    </row>
    <row r="1846" spans="12:12" x14ac:dyDescent="0.2">
      <c r="L1846" t="str">
        <f t="shared" si="29"/>
        <v/>
      </c>
    </row>
    <row r="1847" spans="12:12" x14ac:dyDescent="0.2">
      <c r="L1847" t="str">
        <f t="shared" si="29"/>
        <v/>
      </c>
    </row>
    <row r="1848" spans="12:12" x14ac:dyDescent="0.2">
      <c r="L1848" t="str">
        <f t="shared" si="29"/>
        <v/>
      </c>
    </row>
    <row r="1849" spans="12:12" x14ac:dyDescent="0.2">
      <c r="L1849" t="str">
        <f t="shared" si="29"/>
        <v/>
      </c>
    </row>
    <row r="1850" spans="12:12" x14ac:dyDescent="0.2">
      <c r="L1850" t="str">
        <f t="shared" si="29"/>
        <v/>
      </c>
    </row>
    <row r="1851" spans="12:12" x14ac:dyDescent="0.2">
      <c r="L1851" t="str">
        <f t="shared" si="29"/>
        <v/>
      </c>
    </row>
    <row r="1852" spans="12:12" x14ac:dyDescent="0.2">
      <c r="L1852" t="str">
        <f t="shared" si="29"/>
        <v/>
      </c>
    </row>
    <row r="1853" spans="12:12" x14ac:dyDescent="0.2">
      <c r="L1853" t="str">
        <f t="shared" si="29"/>
        <v/>
      </c>
    </row>
    <row r="1854" spans="12:12" x14ac:dyDescent="0.2">
      <c r="L1854" t="str">
        <f t="shared" si="29"/>
        <v/>
      </c>
    </row>
    <row r="1855" spans="12:12" x14ac:dyDescent="0.2">
      <c r="L1855" t="str">
        <f t="shared" si="29"/>
        <v/>
      </c>
    </row>
    <row r="1856" spans="12:12" x14ac:dyDescent="0.2">
      <c r="L1856" t="str">
        <f t="shared" si="29"/>
        <v/>
      </c>
    </row>
    <row r="1857" spans="12:12" x14ac:dyDescent="0.2">
      <c r="L1857" t="str">
        <f t="shared" si="29"/>
        <v/>
      </c>
    </row>
    <row r="1858" spans="12:12" x14ac:dyDescent="0.2">
      <c r="L1858" t="str">
        <f t="shared" si="29"/>
        <v/>
      </c>
    </row>
    <row r="1859" spans="12:12" x14ac:dyDescent="0.2">
      <c r="L1859" t="str">
        <f t="shared" si="29"/>
        <v/>
      </c>
    </row>
    <row r="1860" spans="12:12" x14ac:dyDescent="0.2">
      <c r="L1860" t="str">
        <f t="shared" ref="L1860:L1923" si="30">IF(L1859&lt;$I$15,L1859+$I$16,"")</f>
        <v/>
      </c>
    </row>
    <row r="1861" spans="12:12" x14ac:dyDescent="0.2">
      <c r="L1861" t="str">
        <f t="shared" si="30"/>
        <v/>
      </c>
    </row>
    <row r="1862" spans="12:12" x14ac:dyDescent="0.2">
      <c r="L1862" t="str">
        <f t="shared" si="30"/>
        <v/>
      </c>
    </row>
    <row r="1863" spans="12:12" x14ac:dyDescent="0.2">
      <c r="L1863" t="str">
        <f t="shared" si="30"/>
        <v/>
      </c>
    </row>
    <row r="1864" spans="12:12" x14ac:dyDescent="0.2">
      <c r="L1864" t="str">
        <f t="shared" si="30"/>
        <v/>
      </c>
    </row>
    <row r="1865" spans="12:12" x14ac:dyDescent="0.2">
      <c r="L1865" t="str">
        <f t="shared" si="30"/>
        <v/>
      </c>
    </row>
    <row r="1866" spans="12:12" x14ac:dyDescent="0.2">
      <c r="L1866" t="str">
        <f t="shared" si="30"/>
        <v/>
      </c>
    </row>
    <row r="1867" spans="12:12" x14ac:dyDescent="0.2">
      <c r="L1867" t="str">
        <f t="shared" si="30"/>
        <v/>
      </c>
    </row>
    <row r="1868" spans="12:12" x14ac:dyDescent="0.2">
      <c r="L1868" t="str">
        <f t="shared" si="30"/>
        <v/>
      </c>
    </row>
    <row r="1869" spans="12:12" x14ac:dyDescent="0.2">
      <c r="L1869" t="str">
        <f t="shared" si="30"/>
        <v/>
      </c>
    </row>
    <row r="1870" spans="12:12" x14ac:dyDescent="0.2">
      <c r="L1870" t="str">
        <f t="shared" si="30"/>
        <v/>
      </c>
    </row>
    <row r="1871" spans="12:12" x14ac:dyDescent="0.2">
      <c r="L1871" t="str">
        <f t="shared" si="30"/>
        <v/>
      </c>
    </row>
    <row r="1872" spans="12:12" x14ac:dyDescent="0.2">
      <c r="L1872" t="str">
        <f t="shared" si="30"/>
        <v/>
      </c>
    </row>
    <row r="1873" spans="12:12" x14ac:dyDescent="0.2">
      <c r="L1873" t="str">
        <f t="shared" si="30"/>
        <v/>
      </c>
    </row>
    <row r="1874" spans="12:12" x14ac:dyDescent="0.2">
      <c r="L1874" t="str">
        <f t="shared" si="30"/>
        <v/>
      </c>
    </row>
    <row r="1875" spans="12:12" x14ac:dyDescent="0.2">
      <c r="L1875" t="str">
        <f t="shared" si="30"/>
        <v/>
      </c>
    </row>
    <row r="1876" spans="12:12" x14ac:dyDescent="0.2">
      <c r="L1876" t="str">
        <f t="shared" si="30"/>
        <v/>
      </c>
    </row>
    <row r="1877" spans="12:12" x14ac:dyDescent="0.2">
      <c r="L1877" t="str">
        <f t="shared" si="30"/>
        <v/>
      </c>
    </row>
    <row r="1878" spans="12:12" x14ac:dyDescent="0.2">
      <c r="L1878" t="str">
        <f t="shared" si="30"/>
        <v/>
      </c>
    </row>
    <row r="1879" spans="12:12" x14ac:dyDescent="0.2">
      <c r="L1879" t="str">
        <f t="shared" si="30"/>
        <v/>
      </c>
    </row>
    <row r="1880" spans="12:12" x14ac:dyDescent="0.2">
      <c r="L1880" t="str">
        <f t="shared" si="30"/>
        <v/>
      </c>
    </row>
    <row r="1881" spans="12:12" x14ac:dyDescent="0.2">
      <c r="L1881" t="str">
        <f t="shared" si="30"/>
        <v/>
      </c>
    </row>
    <row r="1882" spans="12:12" x14ac:dyDescent="0.2">
      <c r="L1882" t="str">
        <f t="shared" si="30"/>
        <v/>
      </c>
    </row>
    <row r="1883" spans="12:12" x14ac:dyDescent="0.2">
      <c r="L1883" t="str">
        <f t="shared" si="30"/>
        <v/>
      </c>
    </row>
    <row r="1884" spans="12:12" x14ac:dyDescent="0.2">
      <c r="L1884" t="str">
        <f t="shared" si="30"/>
        <v/>
      </c>
    </row>
    <row r="1885" spans="12:12" x14ac:dyDescent="0.2">
      <c r="L1885" t="str">
        <f t="shared" si="30"/>
        <v/>
      </c>
    </row>
    <row r="1886" spans="12:12" x14ac:dyDescent="0.2">
      <c r="L1886" t="str">
        <f t="shared" si="30"/>
        <v/>
      </c>
    </row>
    <row r="1887" spans="12:12" x14ac:dyDescent="0.2">
      <c r="L1887" t="str">
        <f t="shared" si="30"/>
        <v/>
      </c>
    </row>
    <row r="1888" spans="12:12" x14ac:dyDescent="0.2">
      <c r="L1888" t="str">
        <f t="shared" si="30"/>
        <v/>
      </c>
    </row>
    <row r="1889" spans="12:12" x14ac:dyDescent="0.2">
      <c r="L1889" t="str">
        <f t="shared" si="30"/>
        <v/>
      </c>
    </row>
    <row r="1890" spans="12:12" x14ac:dyDescent="0.2">
      <c r="L1890" t="str">
        <f t="shared" si="30"/>
        <v/>
      </c>
    </row>
    <row r="1891" spans="12:12" x14ac:dyDescent="0.2">
      <c r="L1891" t="str">
        <f t="shared" si="30"/>
        <v/>
      </c>
    </row>
    <row r="1892" spans="12:12" x14ac:dyDescent="0.2">
      <c r="L1892" t="str">
        <f t="shared" si="30"/>
        <v/>
      </c>
    </row>
    <row r="1893" spans="12:12" x14ac:dyDescent="0.2">
      <c r="L1893" t="str">
        <f t="shared" si="30"/>
        <v/>
      </c>
    </row>
    <row r="1894" spans="12:12" x14ac:dyDescent="0.2">
      <c r="L1894" t="str">
        <f t="shared" si="30"/>
        <v/>
      </c>
    </row>
    <row r="1895" spans="12:12" x14ac:dyDescent="0.2">
      <c r="L1895" t="str">
        <f t="shared" si="30"/>
        <v/>
      </c>
    </row>
    <row r="1896" spans="12:12" x14ac:dyDescent="0.2">
      <c r="L1896" t="str">
        <f t="shared" si="30"/>
        <v/>
      </c>
    </row>
    <row r="1897" spans="12:12" x14ac:dyDescent="0.2">
      <c r="L1897" t="str">
        <f t="shared" si="30"/>
        <v/>
      </c>
    </row>
    <row r="1898" spans="12:12" x14ac:dyDescent="0.2">
      <c r="L1898" t="str">
        <f t="shared" si="30"/>
        <v/>
      </c>
    </row>
    <row r="1899" spans="12:12" x14ac:dyDescent="0.2">
      <c r="L1899" t="str">
        <f t="shared" si="30"/>
        <v/>
      </c>
    </row>
    <row r="1900" spans="12:12" x14ac:dyDescent="0.2">
      <c r="L1900" t="str">
        <f t="shared" si="30"/>
        <v/>
      </c>
    </row>
    <row r="1901" spans="12:12" x14ac:dyDescent="0.2">
      <c r="L1901" t="str">
        <f t="shared" si="30"/>
        <v/>
      </c>
    </row>
    <row r="1902" spans="12:12" x14ac:dyDescent="0.2">
      <c r="L1902" t="str">
        <f t="shared" si="30"/>
        <v/>
      </c>
    </row>
    <row r="1903" spans="12:12" x14ac:dyDescent="0.2">
      <c r="L1903" t="str">
        <f t="shared" si="30"/>
        <v/>
      </c>
    </row>
    <row r="1904" spans="12:12" x14ac:dyDescent="0.2">
      <c r="L1904" t="str">
        <f t="shared" si="30"/>
        <v/>
      </c>
    </row>
    <row r="1905" spans="12:12" x14ac:dyDescent="0.2">
      <c r="L1905" t="str">
        <f t="shared" si="30"/>
        <v/>
      </c>
    </row>
    <row r="1906" spans="12:12" x14ac:dyDescent="0.2">
      <c r="L1906" t="str">
        <f t="shared" si="30"/>
        <v/>
      </c>
    </row>
    <row r="1907" spans="12:12" x14ac:dyDescent="0.2">
      <c r="L1907" t="str">
        <f t="shared" si="30"/>
        <v/>
      </c>
    </row>
    <row r="1908" spans="12:12" x14ac:dyDescent="0.2">
      <c r="L1908" t="str">
        <f t="shared" si="30"/>
        <v/>
      </c>
    </row>
    <row r="1909" spans="12:12" x14ac:dyDescent="0.2">
      <c r="L1909" t="str">
        <f t="shared" si="30"/>
        <v/>
      </c>
    </row>
    <row r="1910" spans="12:12" x14ac:dyDescent="0.2">
      <c r="L1910" t="str">
        <f t="shared" si="30"/>
        <v/>
      </c>
    </row>
    <row r="1911" spans="12:12" x14ac:dyDescent="0.2">
      <c r="L1911" t="str">
        <f t="shared" si="30"/>
        <v/>
      </c>
    </row>
    <row r="1912" spans="12:12" x14ac:dyDescent="0.2">
      <c r="L1912" t="str">
        <f t="shared" si="30"/>
        <v/>
      </c>
    </row>
    <row r="1913" spans="12:12" x14ac:dyDescent="0.2">
      <c r="L1913" t="str">
        <f t="shared" si="30"/>
        <v/>
      </c>
    </row>
    <row r="1914" spans="12:12" x14ac:dyDescent="0.2">
      <c r="L1914" t="str">
        <f t="shared" si="30"/>
        <v/>
      </c>
    </row>
    <row r="1915" spans="12:12" x14ac:dyDescent="0.2">
      <c r="L1915" t="str">
        <f t="shared" si="30"/>
        <v/>
      </c>
    </row>
    <row r="1916" spans="12:12" x14ac:dyDescent="0.2">
      <c r="L1916" t="str">
        <f t="shared" si="30"/>
        <v/>
      </c>
    </row>
    <row r="1917" spans="12:12" x14ac:dyDescent="0.2">
      <c r="L1917" t="str">
        <f t="shared" si="30"/>
        <v/>
      </c>
    </row>
    <row r="1918" spans="12:12" x14ac:dyDescent="0.2">
      <c r="L1918" t="str">
        <f t="shared" si="30"/>
        <v/>
      </c>
    </row>
    <row r="1919" spans="12:12" x14ac:dyDescent="0.2">
      <c r="L1919" t="str">
        <f t="shared" si="30"/>
        <v/>
      </c>
    </row>
    <row r="1920" spans="12:12" x14ac:dyDescent="0.2">
      <c r="L1920" t="str">
        <f t="shared" si="30"/>
        <v/>
      </c>
    </row>
    <row r="1921" spans="12:12" x14ac:dyDescent="0.2">
      <c r="L1921" t="str">
        <f t="shared" si="30"/>
        <v/>
      </c>
    </row>
    <row r="1922" spans="12:12" x14ac:dyDescent="0.2">
      <c r="L1922" t="str">
        <f t="shared" si="30"/>
        <v/>
      </c>
    </row>
    <row r="1923" spans="12:12" x14ac:dyDescent="0.2">
      <c r="L1923" t="str">
        <f t="shared" si="30"/>
        <v/>
      </c>
    </row>
    <row r="1924" spans="12:12" x14ac:dyDescent="0.2">
      <c r="L1924" t="str">
        <f t="shared" ref="L1924:L1987" si="31">IF(L1923&lt;$I$15,L1923+$I$16,"")</f>
        <v/>
      </c>
    </row>
    <row r="1925" spans="12:12" x14ac:dyDescent="0.2">
      <c r="L1925" t="str">
        <f t="shared" si="31"/>
        <v/>
      </c>
    </row>
    <row r="1926" spans="12:12" x14ac:dyDescent="0.2">
      <c r="L1926" t="str">
        <f t="shared" si="31"/>
        <v/>
      </c>
    </row>
    <row r="1927" spans="12:12" x14ac:dyDescent="0.2">
      <c r="L1927" t="str">
        <f t="shared" si="31"/>
        <v/>
      </c>
    </row>
    <row r="1928" spans="12:12" x14ac:dyDescent="0.2">
      <c r="L1928" t="str">
        <f t="shared" si="31"/>
        <v/>
      </c>
    </row>
    <row r="1929" spans="12:12" x14ac:dyDescent="0.2">
      <c r="L1929" t="str">
        <f t="shared" si="31"/>
        <v/>
      </c>
    </row>
    <row r="1930" spans="12:12" x14ac:dyDescent="0.2">
      <c r="L1930" t="str">
        <f t="shared" si="31"/>
        <v/>
      </c>
    </row>
    <row r="1931" spans="12:12" x14ac:dyDescent="0.2">
      <c r="L1931" t="str">
        <f t="shared" si="31"/>
        <v/>
      </c>
    </row>
    <row r="1932" spans="12:12" x14ac:dyDescent="0.2">
      <c r="L1932" t="str">
        <f t="shared" si="31"/>
        <v/>
      </c>
    </row>
    <row r="1933" spans="12:12" x14ac:dyDescent="0.2">
      <c r="L1933" t="str">
        <f t="shared" si="31"/>
        <v/>
      </c>
    </row>
    <row r="1934" spans="12:12" x14ac:dyDescent="0.2">
      <c r="L1934" t="str">
        <f t="shared" si="31"/>
        <v/>
      </c>
    </row>
    <row r="1935" spans="12:12" x14ac:dyDescent="0.2">
      <c r="L1935" t="str">
        <f t="shared" si="31"/>
        <v/>
      </c>
    </row>
    <row r="1936" spans="12:12" x14ac:dyDescent="0.2">
      <c r="L1936" t="str">
        <f t="shared" si="31"/>
        <v/>
      </c>
    </row>
    <row r="1937" spans="12:12" x14ac:dyDescent="0.2">
      <c r="L1937" t="str">
        <f t="shared" si="31"/>
        <v/>
      </c>
    </row>
    <row r="1938" spans="12:12" x14ac:dyDescent="0.2">
      <c r="L1938" t="str">
        <f t="shared" si="31"/>
        <v/>
      </c>
    </row>
    <row r="1939" spans="12:12" x14ac:dyDescent="0.2">
      <c r="L1939" t="str">
        <f t="shared" si="31"/>
        <v/>
      </c>
    </row>
    <row r="1940" spans="12:12" x14ac:dyDescent="0.2">
      <c r="L1940" t="str">
        <f t="shared" si="31"/>
        <v/>
      </c>
    </row>
    <row r="1941" spans="12:12" x14ac:dyDescent="0.2">
      <c r="L1941" t="str">
        <f t="shared" si="31"/>
        <v/>
      </c>
    </row>
    <row r="1942" spans="12:12" x14ac:dyDescent="0.2">
      <c r="L1942" t="str">
        <f t="shared" si="31"/>
        <v/>
      </c>
    </row>
    <row r="1943" spans="12:12" x14ac:dyDescent="0.2">
      <c r="L1943" t="str">
        <f t="shared" si="31"/>
        <v/>
      </c>
    </row>
    <row r="1944" spans="12:12" x14ac:dyDescent="0.2">
      <c r="L1944" t="str">
        <f t="shared" si="31"/>
        <v/>
      </c>
    </row>
    <row r="1945" spans="12:12" x14ac:dyDescent="0.2">
      <c r="L1945" t="str">
        <f t="shared" si="31"/>
        <v/>
      </c>
    </row>
    <row r="1946" spans="12:12" x14ac:dyDescent="0.2">
      <c r="L1946" t="str">
        <f t="shared" si="31"/>
        <v/>
      </c>
    </row>
    <row r="1947" spans="12:12" x14ac:dyDescent="0.2">
      <c r="L1947" t="str">
        <f t="shared" si="31"/>
        <v/>
      </c>
    </row>
    <row r="1948" spans="12:12" x14ac:dyDescent="0.2">
      <c r="L1948" t="str">
        <f t="shared" si="31"/>
        <v/>
      </c>
    </row>
    <row r="1949" spans="12:12" x14ac:dyDescent="0.2">
      <c r="L1949" t="str">
        <f t="shared" si="31"/>
        <v/>
      </c>
    </row>
    <row r="1950" spans="12:12" x14ac:dyDescent="0.2">
      <c r="L1950" t="str">
        <f t="shared" si="31"/>
        <v/>
      </c>
    </row>
    <row r="1951" spans="12:12" x14ac:dyDescent="0.2">
      <c r="L1951" t="str">
        <f t="shared" si="31"/>
        <v/>
      </c>
    </row>
    <row r="1952" spans="12:12" x14ac:dyDescent="0.2">
      <c r="L1952" t="str">
        <f t="shared" si="31"/>
        <v/>
      </c>
    </row>
    <row r="1953" spans="12:12" x14ac:dyDescent="0.2">
      <c r="L1953" t="str">
        <f t="shared" si="31"/>
        <v/>
      </c>
    </row>
    <row r="1954" spans="12:12" x14ac:dyDescent="0.2">
      <c r="L1954" t="str">
        <f t="shared" si="31"/>
        <v/>
      </c>
    </row>
    <row r="1955" spans="12:12" x14ac:dyDescent="0.2">
      <c r="L1955" t="str">
        <f t="shared" si="31"/>
        <v/>
      </c>
    </row>
    <row r="1956" spans="12:12" x14ac:dyDescent="0.2">
      <c r="L1956" t="str">
        <f t="shared" si="31"/>
        <v/>
      </c>
    </row>
    <row r="1957" spans="12:12" x14ac:dyDescent="0.2">
      <c r="L1957" t="str">
        <f t="shared" si="31"/>
        <v/>
      </c>
    </row>
    <row r="1958" spans="12:12" x14ac:dyDescent="0.2">
      <c r="L1958" t="str">
        <f t="shared" si="31"/>
        <v/>
      </c>
    </row>
    <row r="1959" spans="12:12" x14ac:dyDescent="0.2">
      <c r="L1959" t="str">
        <f t="shared" si="31"/>
        <v/>
      </c>
    </row>
    <row r="1960" spans="12:12" x14ac:dyDescent="0.2">
      <c r="L1960" t="str">
        <f t="shared" si="31"/>
        <v/>
      </c>
    </row>
    <row r="1961" spans="12:12" x14ac:dyDescent="0.2">
      <c r="L1961" t="str">
        <f t="shared" si="31"/>
        <v/>
      </c>
    </row>
    <row r="1962" spans="12:12" x14ac:dyDescent="0.2">
      <c r="L1962" t="str">
        <f t="shared" si="31"/>
        <v/>
      </c>
    </row>
    <row r="1963" spans="12:12" x14ac:dyDescent="0.2">
      <c r="L1963" t="str">
        <f t="shared" si="31"/>
        <v/>
      </c>
    </row>
    <row r="1964" spans="12:12" x14ac:dyDescent="0.2">
      <c r="L1964" t="str">
        <f t="shared" si="31"/>
        <v/>
      </c>
    </row>
    <row r="1965" spans="12:12" x14ac:dyDescent="0.2">
      <c r="L1965" t="str">
        <f t="shared" si="31"/>
        <v/>
      </c>
    </row>
    <row r="1966" spans="12:12" x14ac:dyDescent="0.2">
      <c r="L1966" t="str">
        <f t="shared" si="31"/>
        <v/>
      </c>
    </row>
    <row r="1967" spans="12:12" x14ac:dyDescent="0.2">
      <c r="L1967" t="str">
        <f t="shared" si="31"/>
        <v/>
      </c>
    </row>
    <row r="1968" spans="12:12" x14ac:dyDescent="0.2">
      <c r="L1968" t="str">
        <f t="shared" si="31"/>
        <v/>
      </c>
    </row>
    <row r="1969" spans="12:12" x14ac:dyDescent="0.2">
      <c r="L1969" t="str">
        <f t="shared" si="31"/>
        <v/>
      </c>
    </row>
    <row r="1970" spans="12:12" x14ac:dyDescent="0.2">
      <c r="L1970" t="str">
        <f t="shared" si="31"/>
        <v/>
      </c>
    </row>
    <row r="1971" spans="12:12" x14ac:dyDescent="0.2">
      <c r="L1971" t="str">
        <f t="shared" si="31"/>
        <v/>
      </c>
    </row>
    <row r="1972" spans="12:12" x14ac:dyDescent="0.2">
      <c r="L1972" t="str">
        <f t="shared" si="31"/>
        <v/>
      </c>
    </row>
    <row r="1973" spans="12:12" x14ac:dyDescent="0.2">
      <c r="L1973" t="str">
        <f t="shared" si="31"/>
        <v/>
      </c>
    </row>
    <row r="1974" spans="12:12" x14ac:dyDescent="0.2">
      <c r="L1974" t="str">
        <f t="shared" si="31"/>
        <v/>
      </c>
    </row>
    <row r="1975" spans="12:12" x14ac:dyDescent="0.2">
      <c r="L1975" t="str">
        <f t="shared" si="31"/>
        <v/>
      </c>
    </row>
    <row r="1976" spans="12:12" x14ac:dyDescent="0.2">
      <c r="L1976" t="str">
        <f t="shared" si="31"/>
        <v/>
      </c>
    </row>
    <row r="1977" spans="12:12" x14ac:dyDescent="0.2">
      <c r="L1977" t="str">
        <f t="shared" si="31"/>
        <v/>
      </c>
    </row>
    <row r="1978" spans="12:12" x14ac:dyDescent="0.2">
      <c r="L1978" t="str">
        <f t="shared" si="31"/>
        <v/>
      </c>
    </row>
    <row r="1979" spans="12:12" x14ac:dyDescent="0.2">
      <c r="L1979" t="str">
        <f t="shared" si="31"/>
        <v/>
      </c>
    </row>
    <row r="1980" spans="12:12" x14ac:dyDescent="0.2">
      <c r="L1980" t="str">
        <f t="shared" si="31"/>
        <v/>
      </c>
    </row>
    <row r="1981" spans="12:12" x14ac:dyDescent="0.2">
      <c r="L1981" t="str">
        <f t="shared" si="31"/>
        <v/>
      </c>
    </row>
    <row r="1982" spans="12:12" x14ac:dyDescent="0.2">
      <c r="L1982" t="str">
        <f t="shared" si="31"/>
        <v/>
      </c>
    </row>
    <row r="1983" spans="12:12" x14ac:dyDescent="0.2">
      <c r="L1983" t="str">
        <f t="shared" si="31"/>
        <v/>
      </c>
    </row>
    <row r="1984" spans="12:12" x14ac:dyDescent="0.2">
      <c r="L1984" t="str">
        <f t="shared" si="31"/>
        <v/>
      </c>
    </row>
    <row r="1985" spans="12:12" x14ac:dyDescent="0.2">
      <c r="L1985" t="str">
        <f t="shared" si="31"/>
        <v/>
      </c>
    </row>
    <row r="1986" spans="12:12" x14ac:dyDescent="0.2">
      <c r="L1986" t="str">
        <f t="shared" si="31"/>
        <v/>
      </c>
    </row>
    <row r="1987" spans="12:12" x14ac:dyDescent="0.2">
      <c r="L1987" t="str">
        <f t="shared" si="31"/>
        <v/>
      </c>
    </row>
    <row r="1988" spans="12:12" x14ac:dyDescent="0.2">
      <c r="L1988" t="str">
        <f t="shared" ref="L1988:L2051" si="32">IF(L1987&lt;$I$15,L1987+$I$16,"")</f>
        <v/>
      </c>
    </row>
    <row r="1989" spans="12:12" x14ac:dyDescent="0.2">
      <c r="L1989" t="str">
        <f t="shared" si="32"/>
        <v/>
      </c>
    </row>
    <row r="1990" spans="12:12" x14ac:dyDescent="0.2">
      <c r="L1990" t="str">
        <f t="shared" si="32"/>
        <v/>
      </c>
    </row>
    <row r="1991" spans="12:12" x14ac:dyDescent="0.2">
      <c r="L1991" t="str">
        <f t="shared" si="32"/>
        <v/>
      </c>
    </row>
    <row r="1992" spans="12:12" x14ac:dyDescent="0.2">
      <c r="L1992" t="str">
        <f t="shared" si="32"/>
        <v/>
      </c>
    </row>
    <row r="1993" spans="12:12" x14ac:dyDescent="0.2">
      <c r="L1993" t="str">
        <f t="shared" si="32"/>
        <v/>
      </c>
    </row>
    <row r="1994" spans="12:12" x14ac:dyDescent="0.2">
      <c r="L1994" t="str">
        <f t="shared" si="32"/>
        <v/>
      </c>
    </row>
    <row r="1995" spans="12:12" x14ac:dyDescent="0.2">
      <c r="L1995" t="str">
        <f t="shared" si="32"/>
        <v/>
      </c>
    </row>
    <row r="1996" spans="12:12" x14ac:dyDescent="0.2">
      <c r="L1996" t="str">
        <f t="shared" si="32"/>
        <v/>
      </c>
    </row>
    <row r="1997" spans="12:12" x14ac:dyDescent="0.2">
      <c r="L1997" t="str">
        <f t="shared" si="32"/>
        <v/>
      </c>
    </row>
    <row r="1998" spans="12:12" x14ac:dyDescent="0.2">
      <c r="L1998" t="str">
        <f t="shared" si="32"/>
        <v/>
      </c>
    </row>
    <row r="1999" spans="12:12" x14ac:dyDescent="0.2">
      <c r="L1999" t="str">
        <f t="shared" si="32"/>
        <v/>
      </c>
    </row>
    <row r="2000" spans="12:12" x14ac:dyDescent="0.2">
      <c r="L2000" t="str">
        <f t="shared" si="32"/>
        <v/>
      </c>
    </row>
    <row r="2001" spans="12:12" x14ac:dyDescent="0.2">
      <c r="L2001" t="str">
        <f t="shared" si="32"/>
        <v/>
      </c>
    </row>
    <row r="2002" spans="12:12" x14ac:dyDescent="0.2">
      <c r="L2002" t="str">
        <f t="shared" si="32"/>
        <v/>
      </c>
    </row>
    <row r="2003" spans="12:12" x14ac:dyDescent="0.2">
      <c r="L2003" t="str">
        <f t="shared" si="32"/>
        <v/>
      </c>
    </row>
    <row r="2004" spans="12:12" x14ac:dyDescent="0.2">
      <c r="L2004" t="str">
        <f t="shared" si="32"/>
        <v/>
      </c>
    </row>
    <row r="2005" spans="12:12" x14ac:dyDescent="0.2">
      <c r="L2005" t="str">
        <f t="shared" si="32"/>
        <v/>
      </c>
    </row>
    <row r="2006" spans="12:12" x14ac:dyDescent="0.2">
      <c r="L2006" t="str">
        <f t="shared" si="32"/>
        <v/>
      </c>
    </row>
    <row r="2007" spans="12:12" x14ac:dyDescent="0.2">
      <c r="L2007" t="str">
        <f t="shared" si="32"/>
        <v/>
      </c>
    </row>
    <row r="2008" spans="12:12" x14ac:dyDescent="0.2">
      <c r="L2008" t="str">
        <f t="shared" si="32"/>
        <v/>
      </c>
    </row>
    <row r="2009" spans="12:12" x14ac:dyDescent="0.2">
      <c r="L2009" t="str">
        <f t="shared" si="32"/>
        <v/>
      </c>
    </row>
    <row r="2010" spans="12:12" x14ac:dyDescent="0.2">
      <c r="L2010" t="str">
        <f t="shared" si="32"/>
        <v/>
      </c>
    </row>
    <row r="2011" spans="12:12" x14ac:dyDescent="0.2">
      <c r="L2011" t="str">
        <f t="shared" si="32"/>
        <v/>
      </c>
    </row>
    <row r="2012" spans="12:12" x14ac:dyDescent="0.2">
      <c r="L2012" t="str">
        <f t="shared" si="32"/>
        <v/>
      </c>
    </row>
    <row r="2013" spans="12:12" x14ac:dyDescent="0.2">
      <c r="L2013" t="str">
        <f t="shared" si="32"/>
        <v/>
      </c>
    </row>
    <row r="2014" spans="12:12" x14ac:dyDescent="0.2">
      <c r="L2014" t="str">
        <f t="shared" si="32"/>
        <v/>
      </c>
    </row>
    <row r="2015" spans="12:12" x14ac:dyDescent="0.2">
      <c r="L2015" t="str">
        <f t="shared" si="32"/>
        <v/>
      </c>
    </row>
    <row r="2016" spans="12:12" x14ac:dyDescent="0.2">
      <c r="L2016" t="str">
        <f t="shared" si="32"/>
        <v/>
      </c>
    </row>
    <row r="2017" spans="12:12" x14ac:dyDescent="0.2">
      <c r="L2017" t="str">
        <f t="shared" si="32"/>
        <v/>
      </c>
    </row>
    <row r="2018" spans="12:12" x14ac:dyDescent="0.2">
      <c r="L2018" t="str">
        <f t="shared" si="32"/>
        <v/>
      </c>
    </row>
    <row r="2019" spans="12:12" x14ac:dyDescent="0.2">
      <c r="L2019" t="str">
        <f t="shared" si="32"/>
        <v/>
      </c>
    </row>
    <row r="2020" spans="12:12" x14ac:dyDescent="0.2">
      <c r="L2020" t="str">
        <f t="shared" si="32"/>
        <v/>
      </c>
    </row>
    <row r="2021" spans="12:12" x14ac:dyDescent="0.2">
      <c r="L2021" t="str">
        <f t="shared" si="32"/>
        <v/>
      </c>
    </row>
    <row r="2022" spans="12:12" x14ac:dyDescent="0.2">
      <c r="L2022" t="str">
        <f t="shared" si="32"/>
        <v/>
      </c>
    </row>
    <row r="2023" spans="12:12" x14ac:dyDescent="0.2">
      <c r="L2023" t="str">
        <f t="shared" si="32"/>
        <v/>
      </c>
    </row>
    <row r="2024" spans="12:12" x14ac:dyDescent="0.2">
      <c r="L2024" t="str">
        <f t="shared" si="32"/>
        <v/>
      </c>
    </row>
    <row r="2025" spans="12:12" x14ac:dyDescent="0.2">
      <c r="L2025" t="str">
        <f t="shared" si="32"/>
        <v/>
      </c>
    </row>
    <row r="2026" spans="12:12" x14ac:dyDescent="0.2">
      <c r="L2026" t="str">
        <f t="shared" si="32"/>
        <v/>
      </c>
    </row>
    <row r="2027" spans="12:12" x14ac:dyDescent="0.2">
      <c r="L2027" t="str">
        <f t="shared" si="32"/>
        <v/>
      </c>
    </row>
    <row r="2028" spans="12:12" x14ac:dyDescent="0.2">
      <c r="L2028" t="str">
        <f t="shared" si="32"/>
        <v/>
      </c>
    </row>
    <row r="2029" spans="12:12" x14ac:dyDescent="0.2">
      <c r="L2029" t="str">
        <f t="shared" si="32"/>
        <v/>
      </c>
    </row>
    <row r="2030" spans="12:12" x14ac:dyDescent="0.2">
      <c r="L2030" t="str">
        <f t="shared" si="32"/>
        <v/>
      </c>
    </row>
    <row r="2031" spans="12:12" x14ac:dyDescent="0.2">
      <c r="L2031" t="str">
        <f t="shared" si="32"/>
        <v/>
      </c>
    </row>
    <row r="2032" spans="12:12" x14ac:dyDescent="0.2">
      <c r="L2032" t="str">
        <f t="shared" si="32"/>
        <v/>
      </c>
    </row>
    <row r="2033" spans="12:12" x14ac:dyDescent="0.2">
      <c r="L2033" t="str">
        <f t="shared" si="32"/>
        <v/>
      </c>
    </row>
    <row r="2034" spans="12:12" x14ac:dyDescent="0.2">
      <c r="L2034" t="str">
        <f t="shared" si="32"/>
        <v/>
      </c>
    </row>
    <row r="2035" spans="12:12" x14ac:dyDescent="0.2">
      <c r="L2035" t="str">
        <f t="shared" si="32"/>
        <v/>
      </c>
    </row>
    <row r="2036" spans="12:12" x14ac:dyDescent="0.2">
      <c r="L2036" t="str">
        <f t="shared" si="32"/>
        <v/>
      </c>
    </row>
    <row r="2037" spans="12:12" x14ac:dyDescent="0.2">
      <c r="L2037" t="str">
        <f t="shared" si="32"/>
        <v/>
      </c>
    </row>
    <row r="2038" spans="12:12" x14ac:dyDescent="0.2">
      <c r="L2038" t="str">
        <f t="shared" si="32"/>
        <v/>
      </c>
    </row>
    <row r="2039" spans="12:12" x14ac:dyDescent="0.2">
      <c r="L2039" t="str">
        <f t="shared" si="32"/>
        <v/>
      </c>
    </row>
    <row r="2040" spans="12:12" x14ac:dyDescent="0.2">
      <c r="L2040" t="str">
        <f t="shared" si="32"/>
        <v/>
      </c>
    </row>
    <row r="2041" spans="12:12" x14ac:dyDescent="0.2">
      <c r="L2041" t="str">
        <f t="shared" si="32"/>
        <v/>
      </c>
    </row>
    <row r="2042" spans="12:12" x14ac:dyDescent="0.2">
      <c r="L2042" t="str">
        <f t="shared" si="32"/>
        <v/>
      </c>
    </row>
    <row r="2043" spans="12:12" x14ac:dyDescent="0.2">
      <c r="L2043" t="str">
        <f t="shared" si="32"/>
        <v/>
      </c>
    </row>
    <row r="2044" spans="12:12" x14ac:dyDescent="0.2">
      <c r="L2044" t="str">
        <f t="shared" si="32"/>
        <v/>
      </c>
    </row>
    <row r="2045" spans="12:12" x14ac:dyDescent="0.2">
      <c r="L2045" t="str">
        <f t="shared" si="32"/>
        <v/>
      </c>
    </row>
    <row r="2046" spans="12:12" x14ac:dyDescent="0.2">
      <c r="L2046" t="str">
        <f t="shared" si="32"/>
        <v/>
      </c>
    </row>
    <row r="2047" spans="12:12" x14ac:dyDescent="0.2">
      <c r="L2047" t="str">
        <f t="shared" si="32"/>
        <v/>
      </c>
    </row>
    <row r="2048" spans="12:12" x14ac:dyDescent="0.2">
      <c r="L2048" t="str">
        <f t="shared" si="32"/>
        <v/>
      </c>
    </row>
    <row r="2049" spans="12:12" x14ac:dyDescent="0.2">
      <c r="L2049" t="str">
        <f t="shared" si="32"/>
        <v/>
      </c>
    </row>
    <row r="2050" spans="12:12" x14ac:dyDescent="0.2">
      <c r="L2050" t="str">
        <f t="shared" si="32"/>
        <v/>
      </c>
    </row>
    <row r="2051" spans="12:12" x14ac:dyDescent="0.2">
      <c r="L2051" t="str">
        <f t="shared" si="32"/>
        <v/>
      </c>
    </row>
    <row r="2052" spans="12:12" x14ac:dyDescent="0.2">
      <c r="L2052" t="str">
        <f t="shared" ref="L2052:L2115" si="33">IF(L2051&lt;$I$15,L2051+$I$16,"")</f>
        <v/>
      </c>
    </row>
    <row r="2053" spans="12:12" x14ac:dyDescent="0.2">
      <c r="L2053" t="str">
        <f t="shared" si="33"/>
        <v/>
      </c>
    </row>
    <row r="2054" spans="12:12" x14ac:dyDescent="0.2">
      <c r="L2054" t="str">
        <f t="shared" si="33"/>
        <v/>
      </c>
    </row>
    <row r="2055" spans="12:12" x14ac:dyDescent="0.2">
      <c r="L2055" t="str">
        <f t="shared" si="33"/>
        <v/>
      </c>
    </row>
    <row r="2056" spans="12:12" x14ac:dyDescent="0.2">
      <c r="L2056" t="str">
        <f t="shared" si="33"/>
        <v/>
      </c>
    </row>
    <row r="2057" spans="12:12" x14ac:dyDescent="0.2">
      <c r="L2057" t="str">
        <f t="shared" si="33"/>
        <v/>
      </c>
    </row>
    <row r="2058" spans="12:12" x14ac:dyDescent="0.2">
      <c r="L2058" t="str">
        <f t="shared" si="33"/>
        <v/>
      </c>
    </row>
    <row r="2059" spans="12:12" x14ac:dyDescent="0.2">
      <c r="L2059" t="str">
        <f t="shared" si="33"/>
        <v/>
      </c>
    </row>
    <row r="2060" spans="12:12" x14ac:dyDescent="0.2">
      <c r="L2060" t="str">
        <f t="shared" si="33"/>
        <v/>
      </c>
    </row>
    <row r="2061" spans="12:12" x14ac:dyDescent="0.2">
      <c r="L2061" t="str">
        <f t="shared" si="33"/>
        <v/>
      </c>
    </row>
    <row r="2062" spans="12:12" x14ac:dyDescent="0.2">
      <c r="L2062" t="str">
        <f t="shared" si="33"/>
        <v/>
      </c>
    </row>
    <row r="2063" spans="12:12" x14ac:dyDescent="0.2">
      <c r="L2063" t="str">
        <f t="shared" si="33"/>
        <v/>
      </c>
    </row>
    <row r="2064" spans="12:12" x14ac:dyDescent="0.2">
      <c r="L2064" t="str">
        <f t="shared" si="33"/>
        <v/>
      </c>
    </row>
    <row r="2065" spans="12:12" x14ac:dyDescent="0.2">
      <c r="L2065" t="str">
        <f t="shared" si="33"/>
        <v/>
      </c>
    </row>
    <row r="2066" spans="12:12" x14ac:dyDescent="0.2">
      <c r="L2066" t="str">
        <f t="shared" si="33"/>
        <v/>
      </c>
    </row>
    <row r="2067" spans="12:12" x14ac:dyDescent="0.2">
      <c r="L2067" t="str">
        <f t="shared" si="33"/>
        <v/>
      </c>
    </row>
    <row r="2068" spans="12:12" x14ac:dyDescent="0.2">
      <c r="L2068" t="str">
        <f t="shared" si="33"/>
        <v/>
      </c>
    </row>
    <row r="2069" spans="12:12" x14ac:dyDescent="0.2">
      <c r="L2069" t="str">
        <f t="shared" si="33"/>
        <v/>
      </c>
    </row>
    <row r="2070" spans="12:12" x14ac:dyDescent="0.2">
      <c r="L2070" t="str">
        <f t="shared" si="33"/>
        <v/>
      </c>
    </row>
    <row r="2071" spans="12:12" x14ac:dyDescent="0.2">
      <c r="L2071" t="str">
        <f t="shared" si="33"/>
        <v/>
      </c>
    </row>
    <row r="2072" spans="12:12" x14ac:dyDescent="0.2">
      <c r="L2072" t="str">
        <f t="shared" si="33"/>
        <v/>
      </c>
    </row>
    <row r="2073" spans="12:12" x14ac:dyDescent="0.2">
      <c r="L2073" t="str">
        <f t="shared" si="33"/>
        <v/>
      </c>
    </row>
    <row r="2074" spans="12:12" x14ac:dyDescent="0.2">
      <c r="L2074" t="str">
        <f t="shared" si="33"/>
        <v/>
      </c>
    </row>
    <row r="2075" spans="12:12" x14ac:dyDescent="0.2">
      <c r="L2075" t="str">
        <f t="shared" si="33"/>
        <v/>
      </c>
    </row>
    <row r="2076" spans="12:12" x14ac:dyDescent="0.2">
      <c r="L2076" t="str">
        <f t="shared" si="33"/>
        <v/>
      </c>
    </row>
    <row r="2077" spans="12:12" x14ac:dyDescent="0.2">
      <c r="L2077" t="str">
        <f t="shared" si="33"/>
        <v/>
      </c>
    </row>
    <row r="2078" spans="12:12" x14ac:dyDescent="0.2">
      <c r="L2078" t="str">
        <f t="shared" si="33"/>
        <v/>
      </c>
    </row>
    <row r="2079" spans="12:12" x14ac:dyDescent="0.2">
      <c r="L2079" t="str">
        <f t="shared" si="33"/>
        <v/>
      </c>
    </row>
    <row r="2080" spans="12:12" x14ac:dyDescent="0.2">
      <c r="L2080" t="str">
        <f t="shared" si="33"/>
        <v/>
      </c>
    </row>
    <row r="2081" spans="12:12" x14ac:dyDescent="0.2">
      <c r="L2081" t="str">
        <f t="shared" si="33"/>
        <v/>
      </c>
    </row>
    <row r="2082" spans="12:12" x14ac:dyDescent="0.2">
      <c r="L2082" t="str">
        <f t="shared" si="33"/>
        <v/>
      </c>
    </row>
    <row r="2083" spans="12:12" x14ac:dyDescent="0.2">
      <c r="L2083" t="str">
        <f t="shared" si="33"/>
        <v/>
      </c>
    </row>
    <row r="2084" spans="12:12" x14ac:dyDescent="0.2">
      <c r="L2084" t="str">
        <f t="shared" si="33"/>
        <v/>
      </c>
    </row>
    <row r="2085" spans="12:12" x14ac:dyDescent="0.2">
      <c r="L2085" t="str">
        <f t="shared" si="33"/>
        <v/>
      </c>
    </row>
    <row r="2086" spans="12:12" x14ac:dyDescent="0.2">
      <c r="L2086" t="str">
        <f t="shared" si="33"/>
        <v/>
      </c>
    </row>
    <row r="2087" spans="12:12" x14ac:dyDescent="0.2">
      <c r="L2087" t="str">
        <f t="shared" si="33"/>
        <v/>
      </c>
    </row>
    <row r="2088" spans="12:12" x14ac:dyDescent="0.2">
      <c r="L2088" t="str">
        <f t="shared" si="33"/>
        <v/>
      </c>
    </row>
    <row r="2089" spans="12:12" x14ac:dyDescent="0.2">
      <c r="L2089" t="str">
        <f t="shared" si="33"/>
        <v/>
      </c>
    </row>
    <row r="2090" spans="12:12" x14ac:dyDescent="0.2">
      <c r="L2090" t="str">
        <f t="shared" si="33"/>
        <v/>
      </c>
    </row>
    <row r="2091" spans="12:12" x14ac:dyDescent="0.2">
      <c r="L2091" t="str">
        <f t="shared" si="33"/>
        <v/>
      </c>
    </row>
    <row r="2092" spans="12:12" x14ac:dyDescent="0.2">
      <c r="L2092" t="str">
        <f t="shared" si="33"/>
        <v/>
      </c>
    </row>
    <row r="2093" spans="12:12" x14ac:dyDescent="0.2">
      <c r="L2093" t="str">
        <f t="shared" si="33"/>
        <v/>
      </c>
    </row>
    <row r="2094" spans="12:12" x14ac:dyDescent="0.2">
      <c r="L2094" t="str">
        <f t="shared" si="33"/>
        <v/>
      </c>
    </row>
    <row r="2095" spans="12:12" x14ac:dyDescent="0.2">
      <c r="L2095" t="str">
        <f t="shared" si="33"/>
        <v/>
      </c>
    </row>
    <row r="2096" spans="12:12" x14ac:dyDescent="0.2">
      <c r="L2096" t="str">
        <f t="shared" si="33"/>
        <v/>
      </c>
    </row>
    <row r="2097" spans="12:12" x14ac:dyDescent="0.2">
      <c r="L2097" t="str">
        <f t="shared" si="33"/>
        <v/>
      </c>
    </row>
    <row r="2098" spans="12:12" x14ac:dyDescent="0.2">
      <c r="L2098" t="str">
        <f t="shared" si="33"/>
        <v/>
      </c>
    </row>
    <row r="2099" spans="12:12" x14ac:dyDescent="0.2">
      <c r="L2099" t="str">
        <f t="shared" si="33"/>
        <v/>
      </c>
    </row>
    <row r="2100" spans="12:12" x14ac:dyDescent="0.2">
      <c r="L2100" t="str">
        <f t="shared" si="33"/>
        <v/>
      </c>
    </row>
    <row r="2101" spans="12:12" x14ac:dyDescent="0.2">
      <c r="L2101" t="str">
        <f t="shared" si="33"/>
        <v/>
      </c>
    </row>
    <row r="2102" spans="12:12" x14ac:dyDescent="0.2">
      <c r="L2102" t="str">
        <f t="shared" si="33"/>
        <v/>
      </c>
    </row>
    <row r="2103" spans="12:12" x14ac:dyDescent="0.2">
      <c r="L2103" t="str">
        <f t="shared" si="33"/>
        <v/>
      </c>
    </row>
    <row r="2104" spans="12:12" x14ac:dyDescent="0.2">
      <c r="L2104" t="str">
        <f t="shared" si="33"/>
        <v/>
      </c>
    </row>
    <row r="2105" spans="12:12" x14ac:dyDescent="0.2">
      <c r="L2105" t="str">
        <f t="shared" si="33"/>
        <v/>
      </c>
    </row>
    <row r="2106" spans="12:12" x14ac:dyDescent="0.2">
      <c r="L2106" t="str">
        <f t="shared" si="33"/>
        <v/>
      </c>
    </row>
    <row r="2107" spans="12:12" x14ac:dyDescent="0.2">
      <c r="L2107" t="str">
        <f t="shared" si="33"/>
        <v/>
      </c>
    </row>
    <row r="2108" spans="12:12" x14ac:dyDescent="0.2">
      <c r="L2108" t="str">
        <f t="shared" si="33"/>
        <v/>
      </c>
    </row>
    <row r="2109" spans="12:12" x14ac:dyDescent="0.2">
      <c r="L2109" t="str">
        <f t="shared" si="33"/>
        <v/>
      </c>
    </row>
    <row r="2110" spans="12:12" x14ac:dyDescent="0.2">
      <c r="L2110" t="str">
        <f t="shared" si="33"/>
        <v/>
      </c>
    </row>
    <row r="2111" spans="12:12" x14ac:dyDescent="0.2">
      <c r="L2111" t="str">
        <f t="shared" si="33"/>
        <v/>
      </c>
    </row>
    <row r="2112" spans="12:12" x14ac:dyDescent="0.2">
      <c r="L2112" t="str">
        <f t="shared" si="33"/>
        <v/>
      </c>
    </row>
    <row r="2113" spans="12:12" x14ac:dyDescent="0.2">
      <c r="L2113" t="str">
        <f t="shared" si="33"/>
        <v/>
      </c>
    </row>
    <row r="2114" spans="12:12" x14ac:dyDescent="0.2">
      <c r="L2114" t="str">
        <f t="shared" si="33"/>
        <v/>
      </c>
    </row>
    <row r="2115" spans="12:12" x14ac:dyDescent="0.2">
      <c r="L2115" t="str">
        <f t="shared" si="33"/>
        <v/>
      </c>
    </row>
    <row r="2116" spans="12:12" x14ac:dyDescent="0.2">
      <c r="L2116" t="str">
        <f t="shared" ref="L2116:L2179" si="34">IF(L2115&lt;$I$15,L2115+$I$16,"")</f>
        <v/>
      </c>
    </row>
    <row r="2117" spans="12:12" x14ac:dyDescent="0.2">
      <c r="L2117" t="str">
        <f t="shared" si="34"/>
        <v/>
      </c>
    </row>
    <row r="2118" spans="12:12" x14ac:dyDescent="0.2">
      <c r="L2118" t="str">
        <f t="shared" si="34"/>
        <v/>
      </c>
    </row>
    <row r="2119" spans="12:12" x14ac:dyDescent="0.2">
      <c r="L2119" t="str">
        <f t="shared" si="34"/>
        <v/>
      </c>
    </row>
    <row r="2120" spans="12:12" x14ac:dyDescent="0.2">
      <c r="L2120" t="str">
        <f t="shared" si="34"/>
        <v/>
      </c>
    </row>
    <row r="2121" spans="12:12" x14ac:dyDescent="0.2">
      <c r="L2121" t="str">
        <f t="shared" si="34"/>
        <v/>
      </c>
    </row>
    <row r="2122" spans="12:12" x14ac:dyDescent="0.2">
      <c r="L2122" t="str">
        <f t="shared" si="34"/>
        <v/>
      </c>
    </row>
    <row r="2123" spans="12:12" x14ac:dyDescent="0.2">
      <c r="L2123" t="str">
        <f t="shared" si="34"/>
        <v/>
      </c>
    </row>
    <row r="2124" spans="12:12" x14ac:dyDescent="0.2">
      <c r="L2124" t="str">
        <f t="shared" si="34"/>
        <v/>
      </c>
    </row>
    <row r="2125" spans="12:12" x14ac:dyDescent="0.2">
      <c r="L2125" t="str">
        <f t="shared" si="34"/>
        <v/>
      </c>
    </row>
    <row r="2126" spans="12:12" x14ac:dyDescent="0.2">
      <c r="L2126" t="str">
        <f t="shared" si="34"/>
        <v/>
      </c>
    </row>
    <row r="2127" spans="12:12" x14ac:dyDescent="0.2">
      <c r="L2127" t="str">
        <f t="shared" si="34"/>
        <v/>
      </c>
    </row>
    <row r="2128" spans="12:12" x14ac:dyDescent="0.2">
      <c r="L2128" t="str">
        <f t="shared" si="34"/>
        <v/>
      </c>
    </row>
    <row r="2129" spans="12:12" x14ac:dyDescent="0.2">
      <c r="L2129" t="str">
        <f t="shared" si="34"/>
        <v/>
      </c>
    </row>
    <row r="2130" spans="12:12" x14ac:dyDescent="0.2">
      <c r="L2130" t="str">
        <f t="shared" si="34"/>
        <v/>
      </c>
    </row>
    <row r="2131" spans="12:12" x14ac:dyDescent="0.2">
      <c r="L2131" t="str">
        <f t="shared" si="34"/>
        <v/>
      </c>
    </row>
    <row r="2132" spans="12:12" x14ac:dyDescent="0.2">
      <c r="L2132" t="str">
        <f t="shared" si="34"/>
        <v/>
      </c>
    </row>
    <row r="2133" spans="12:12" x14ac:dyDescent="0.2">
      <c r="L2133" t="str">
        <f t="shared" si="34"/>
        <v/>
      </c>
    </row>
    <row r="2134" spans="12:12" x14ac:dyDescent="0.2">
      <c r="L2134" t="str">
        <f t="shared" si="34"/>
        <v/>
      </c>
    </row>
    <row r="2135" spans="12:12" x14ac:dyDescent="0.2">
      <c r="L2135" t="str">
        <f t="shared" si="34"/>
        <v/>
      </c>
    </row>
    <row r="2136" spans="12:12" x14ac:dyDescent="0.2">
      <c r="L2136" t="str">
        <f t="shared" si="34"/>
        <v/>
      </c>
    </row>
    <row r="2137" spans="12:12" x14ac:dyDescent="0.2">
      <c r="L2137" t="str">
        <f t="shared" si="34"/>
        <v/>
      </c>
    </row>
    <row r="2138" spans="12:12" x14ac:dyDescent="0.2">
      <c r="L2138" t="str">
        <f t="shared" si="34"/>
        <v/>
      </c>
    </row>
    <row r="2139" spans="12:12" x14ac:dyDescent="0.2">
      <c r="L2139" t="str">
        <f t="shared" si="34"/>
        <v/>
      </c>
    </row>
    <row r="2140" spans="12:12" x14ac:dyDescent="0.2">
      <c r="L2140" t="str">
        <f t="shared" si="34"/>
        <v/>
      </c>
    </row>
    <row r="2141" spans="12:12" x14ac:dyDescent="0.2">
      <c r="L2141" t="str">
        <f t="shared" si="34"/>
        <v/>
      </c>
    </row>
    <row r="2142" spans="12:12" x14ac:dyDescent="0.2">
      <c r="L2142" t="str">
        <f t="shared" si="34"/>
        <v/>
      </c>
    </row>
    <row r="2143" spans="12:12" x14ac:dyDescent="0.2">
      <c r="L2143" t="str">
        <f t="shared" si="34"/>
        <v/>
      </c>
    </row>
    <row r="2144" spans="12:12" x14ac:dyDescent="0.2">
      <c r="L2144" t="str">
        <f t="shared" si="34"/>
        <v/>
      </c>
    </row>
    <row r="2145" spans="12:12" x14ac:dyDescent="0.2">
      <c r="L2145" t="str">
        <f t="shared" si="34"/>
        <v/>
      </c>
    </row>
    <row r="2146" spans="12:12" x14ac:dyDescent="0.2">
      <c r="L2146" t="str">
        <f t="shared" si="34"/>
        <v/>
      </c>
    </row>
    <row r="2147" spans="12:12" x14ac:dyDescent="0.2">
      <c r="L2147" t="str">
        <f t="shared" si="34"/>
        <v/>
      </c>
    </row>
    <row r="2148" spans="12:12" x14ac:dyDescent="0.2">
      <c r="L2148" t="str">
        <f t="shared" si="34"/>
        <v/>
      </c>
    </row>
    <row r="2149" spans="12:12" x14ac:dyDescent="0.2">
      <c r="L2149" t="str">
        <f t="shared" si="34"/>
        <v/>
      </c>
    </row>
    <row r="2150" spans="12:12" x14ac:dyDescent="0.2">
      <c r="L2150" t="str">
        <f t="shared" si="34"/>
        <v/>
      </c>
    </row>
    <row r="2151" spans="12:12" x14ac:dyDescent="0.2">
      <c r="L2151" t="str">
        <f t="shared" si="34"/>
        <v/>
      </c>
    </row>
    <row r="2152" spans="12:12" x14ac:dyDescent="0.2">
      <c r="L2152" t="str">
        <f t="shared" si="34"/>
        <v/>
      </c>
    </row>
    <row r="2153" spans="12:12" x14ac:dyDescent="0.2">
      <c r="L2153" t="str">
        <f t="shared" si="34"/>
        <v/>
      </c>
    </row>
    <row r="2154" spans="12:12" x14ac:dyDescent="0.2">
      <c r="L2154" t="str">
        <f t="shared" si="34"/>
        <v/>
      </c>
    </row>
    <row r="2155" spans="12:12" x14ac:dyDescent="0.2">
      <c r="L2155" t="str">
        <f t="shared" si="34"/>
        <v/>
      </c>
    </row>
    <row r="2156" spans="12:12" x14ac:dyDescent="0.2">
      <c r="L2156" t="str">
        <f t="shared" si="34"/>
        <v/>
      </c>
    </row>
    <row r="2157" spans="12:12" x14ac:dyDescent="0.2">
      <c r="L2157" t="str">
        <f t="shared" si="34"/>
        <v/>
      </c>
    </row>
    <row r="2158" spans="12:12" x14ac:dyDescent="0.2">
      <c r="L2158" t="str">
        <f t="shared" si="34"/>
        <v/>
      </c>
    </row>
    <row r="2159" spans="12:12" x14ac:dyDescent="0.2">
      <c r="L2159" t="str">
        <f t="shared" si="34"/>
        <v/>
      </c>
    </row>
    <row r="2160" spans="12:12" x14ac:dyDescent="0.2">
      <c r="L2160" t="str">
        <f t="shared" si="34"/>
        <v/>
      </c>
    </row>
    <row r="2161" spans="12:12" x14ac:dyDescent="0.2">
      <c r="L2161" t="str">
        <f t="shared" si="34"/>
        <v/>
      </c>
    </row>
    <row r="2162" spans="12:12" x14ac:dyDescent="0.2">
      <c r="L2162" t="str">
        <f t="shared" si="34"/>
        <v/>
      </c>
    </row>
    <row r="2163" spans="12:12" x14ac:dyDescent="0.2">
      <c r="L2163" t="str">
        <f t="shared" si="34"/>
        <v/>
      </c>
    </row>
    <row r="2164" spans="12:12" x14ac:dyDescent="0.2">
      <c r="L2164" t="str">
        <f t="shared" si="34"/>
        <v/>
      </c>
    </row>
    <row r="2165" spans="12:12" x14ac:dyDescent="0.2">
      <c r="L2165" t="str">
        <f t="shared" si="34"/>
        <v/>
      </c>
    </row>
    <row r="2166" spans="12:12" x14ac:dyDescent="0.2">
      <c r="L2166" t="str">
        <f t="shared" si="34"/>
        <v/>
      </c>
    </row>
    <row r="2167" spans="12:12" x14ac:dyDescent="0.2">
      <c r="L2167" t="str">
        <f t="shared" si="34"/>
        <v/>
      </c>
    </row>
    <row r="2168" spans="12:12" x14ac:dyDescent="0.2">
      <c r="L2168" t="str">
        <f t="shared" si="34"/>
        <v/>
      </c>
    </row>
    <row r="2169" spans="12:12" x14ac:dyDescent="0.2">
      <c r="L2169" t="str">
        <f t="shared" si="34"/>
        <v/>
      </c>
    </row>
    <row r="2170" spans="12:12" x14ac:dyDescent="0.2">
      <c r="L2170" t="str">
        <f t="shared" si="34"/>
        <v/>
      </c>
    </row>
    <row r="2171" spans="12:12" x14ac:dyDescent="0.2">
      <c r="L2171" t="str">
        <f t="shared" si="34"/>
        <v/>
      </c>
    </row>
    <row r="2172" spans="12:12" x14ac:dyDescent="0.2">
      <c r="L2172" t="str">
        <f t="shared" si="34"/>
        <v/>
      </c>
    </row>
    <row r="2173" spans="12:12" x14ac:dyDescent="0.2">
      <c r="L2173" t="str">
        <f t="shared" si="34"/>
        <v/>
      </c>
    </row>
    <row r="2174" spans="12:12" x14ac:dyDescent="0.2">
      <c r="L2174" t="str">
        <f t="shared" si="34"/>
        <v/>
      </c>
    </row>
    <row r="2175" spans="12:12" x14ac:dyDescent="0.2">
      <c r="L2175" t="str">
        <f t="shared" si="34"/>
        <v/>
      </c>
    </row>
    <row r="2176" spans="12:12" x14ac:dyDescent="0.2">
      <c r="L2176" t="str">
        <f t="shared" si="34"/>
        <v/>
      </c>
    </row>
    <row r="2177" spans="12:12" x14ac:dyDescent="0.2">
      <c r="L2177" t="str">
        <f t="shared" si="34"/>
        <v/>
      </c>
    </row>
    <row r="2178" spans="12:12" x14ac:dyDescent="0.2">
      <c r="L2178" t="str">
        <f t="shared" si="34"/>
        <v/>
      </c>
    </row>
    <row r="2179" spans="12:12" x14ac:dyDescent="0.2">
      <c r="L2179" t="str">
        <f t="shared" si="34"/>
        <v/>
      </c>
    </row>
    <row r="2180" spans="12:12" x14ac:dyDescent="0.2">
      <c r="L2180" t="str">
        <f t="shared" ref="L2180:L2243" si="35">IF(L2179&lt;$I$15,L2179+$I$16,"")</f>
        <v/>
      </c>
    </row>
    <row r="2181" spans="12:12" x14ac:dyDescent="0.2">
      <c r="L2181" t="str">
        <f t="shared" si="35"/>
        <v/>
      </c>
    </row>
    <row r="2182" spans="12:12" x14ac:dyDescent="0.2">
      <c r="L2182" t="str">
        <f t="shared" si="35"/>
        <v/>
      </c>
    </row>
    <row r="2183" spans="12:12" x14ac:dyDescent="0.2">
      <c r="L2183" t="str">
        <f t="shared" si="35"/>
        <v/>
      </c>
    </row>
    <row r="2184" spans="12:12" x14ac:dyDescent="0.2">
      <c r="L2184" t="str">
        <f t="shared" si="35"/>
        <v/>
      </c>
    </row>
    <row r="2185" spans="12:12" x14ac:dyDescent="0.2">
      <c r="L2185" t="str">
        <f t="shared" si="35"/>
        <v/>
      </c>
    </row>
    <row r="2186" spans="12:12" x14ac:dyDescent="0.2">
      <c r="L2186" t="str">
        <f t="shared" si="35"/>
        <v/>
      </c>
    </row>
    <row r="2187" spans="12:12" x14ac:dyDescent="0.2">
      <c r="L2187" t="str">
        <f t="shared" si="35"/>
        <v/>
      </c>
    </row>
    <row r="2188" spans="12:12" x14ac:dyDescent="0.2">
      <c r="L2188" t="str">
        <f t="shared" si="35"/>
        <v/>
      </c>
    </row>
    <row r="2189" spans="12:12" x14ac:dyDescent="0.2">
      <c r="L2189" t="str">
        <f t="shared" si="35"/>
        <v/>
      </c>
    </row>
    <row r="2190" spans="12:12" x14ac:dyDescent="0.2">
      <c r="L2190" t="str">
        <f t="shared" si="35"/>
        <v/>
      </c>
    </row>
    <row r="2191" spans="12:12" x14ac:dyDescent="0.2">
      <c r="L2191" t="str">
        <f t="shared" si="35"/>
        <v/>
      </c>
    </row>
    <row r="2192" spans="12:12" x14ac:dyDescent="0.2">
      <c r="L2192" t="str">
        <f t="shared" si="35"/>
        <v/>
      </c>
    </row>
    <row r="2193" spans="12:12" x14ac:dyDescent="0.2">
      <c r="L2193" t="str">
        <f t="shared" si="35"/>
        <v/>
      </c>
    </row>
    <row r="2194" spans="12:12" x14ac:dyDescent="0.2">
      <c r="L2194" t="str">
        <f t="shared" si="35"/>
        <v/>
      </c>
    </row>
    <row r="2195" spans="12:12" x14ac:dyDescent="0.2">
      <c r="L2195" t="str">
        <f t="shared" si="35"/>
        <v/>
      </c>
    </row>
    <row r="2196" spans="12:12" x14ac:dyDescent="0.2">
      <c r="L2196" t="str">
        <f t="shared" si="35"/>
        <v/>
      </c>
    </row>
    <row r="2197" spans="12:12" x14ac:dyDescent="0.2">
      <c r="L2197" t="str">
        <f t="shared" si="35"/>
        <v/>
      </c>
    </row>
    <row r="2198" spans="12:12" x14ac:dyDescent="0.2">
      <c r="L2198" t="str">
        <f t="shared" si="35"/>
        <v/>
      </c>
    </row>
    <row r="2199" spans="12:12" x14ac:dyDescent="0.2">
      <c r="L2199" t="str">
        <f t="shared" si="35"/>
        <v/>
      </c>
    </row>
    <row r="2200" spans="12:12" x14ac:dyDescent="0.2">
      <c r="L2200" t="str">
        <f t="shared" si="35"/>
        <v/>
      </c>
    </row>
    <row r="2201" spans="12:12" x14ac:dyDescent="0.2">
      <c r="L2201" t="str">
        <f t="shared" si="35"/>
        <v/>
      </c>
    </row>
    <row r="2202" spans="12:12" x14ac:dyDescent="0.2">
      <c r="L2202" t="str">
        <f t="shared" si="35"/>
        <v/>
      </c>
    </row>
    <row r="2203" spans="12:12" x14ac:dyDescent="0.2">
      <c r="L2203" t="str">
        <f t="shared" si="35"/>
        <v/>
      </c>
    </row>
    <row r="2204" spans="12:12" x14ac:dyDescent="0.2">
      <c r="L2204" t="str">
        <f t="shared" si="35"/>
        <v/>
      </c>
    </row>
    <row r="2205" spans="12:12" x14ac:dyDescent="0.2">
      <c r="L2205" t="str">
        <f t="shared" si="35"/>
        <v/>
      </c>
    </row>
    <row r="2206" spans="12:12" x14ac:dyDescent="0.2">
      <c r="L2206" t="str">
        <f t="shared" si="35"/>
        <v/>
      </c>
    </row>
    <row r="2207" spans="12:12" x14ac:dyDescent="0.2">
      <c r="L2207" t="str">
        <f t="shared" si="35"/>
        <v/>
      </c>
    </row>
    <row r="2208" spans="12:12" x14ac:dyDescent="0.2">
      <c r="L2208" t="str">
        <f t="shared" si="35"/>
        <v/>
      </c>
    </row>
    <row r="2209" spans="12:12" x14ac:dyDescent="0.2">
      <c r="L2209" t="str">
        <f t="shared" si="35"/>
        <v/>
      </c>
    </row>
    <row r="2210" spans="12:12" x14ac:dyDescent="0.2">
      <c r="L2210" t="str">
        <f t="shared" si="35"/>
        <v/>
      </c>
    </row>
    <row r="2211" spans="12:12" x14ac:dyDescent="0.2">
      <c r="L2211" t="str">
        <f t="shared" si="35"/>
        <v/>
      </c>
    </row>
    <row r="2212" spans="12:12" x14ac:dyDescent="0.2">
      <c r="L2212" t="str">
        <f t="shared" si="35"/>
        <v/>
      </c>
    </row>
    <row r="2213" spans="12:12" x14ac:dyDescent="0.2">
      <c r="L2213" t="str">
        <f t="shared" si="35"/>
        <v/>
      </c>
    </row>
    <row r="2214" spans="12:12" x14ac:dyDescent="0.2">
      <c r="L2214" t="str">
        <f t="shared" si="35"/>
        <v/>
      </c>
    </row>
    <row r="2215" spans="12:12" x14ac:dyDescent="0.2">
      <c r="L2215" t="str">
        <f t="shared" si="35"/>
        <v/>
      </c>
    </row>
    <row r="2216" spans="12:12" x14ac:dyDescent="0.2">
      <c r="L2216" t="str">
        <f t="shared" si="35"/>
        <v/>
      </c>
    </row>
    <row r="2217" spans="12:12" x14ac:dyDescent="0.2">
      <c r="L2217" t="str">
        <f t="shared" si="35"/>
        <v/>
      </c>
    </row>
    <row r="2218" spans="12:12" x14ac:dyDescent="0.2">
      <c r="L2218" t="str">
        <f t="shared" si="35"/>
        <v/>
      </c>
    </row>
    <row r="2219" spans="12:12" x14ac:dyDescent="0.2">
      <c r="L2219" t="str">
        <f t="shared" si="35"/>
        <v/>
      </c>
    </row>
    <row r="2220" spans="12:12" x14ac:dyDescent="0.2">
      <c r="L2220" t="str">
        <f t="shared" si="35"/>
        <v/>
      </c>
    </row>
    <row r="2221" spans="12:12" x14ac:dyDescent="0.2">
      <c r="L2221" t="str">
        <f t="shared" si="35"/>
        <v/>
      </c>
    </row>
    <row r="2222" spans="12:12" x14ac:dyDescent="0.2">
      <c r="L2222" t="str">
        <f t="shared" si="35"/>
        <v/>
      </c>
    </row>
    <row r="2223" spans="12:12" x14ac:dyDescent="0.2">
      <c r="L2223" t="str">
        <f t="shared" si="35"/>
        <v/>
      </c>
    </row>
    <row r="2224" spans="12:12" x14ac:dyDescent="0.2">
      <c r="L2224" t="str">
        <f t="shared" si="35"/>
        <v/>
      </c>
    </row>
    <row r="2225" spans="12:12" x14ac:dyDescent="0.2">
      <c r="L2225" t="str">
        <f t="shared" si="35"/>
        <v/>
      </c>
    </row>
    <row r="2226" spans="12:12" x14ac:dyDescent="0.2">
      <c r="L2226" t="str">
        <f t="shared" si="35"/>
        <v/>
      </c>
    </row>
    <row r="2227" spans="12:12" x14ac:dyDescent="0.2">
      <c r="L2227" t="str">
        <f t="shared" si="35"/>
        <v/>
      </c>
    </row>
    <row r="2228" spans="12:12" x14ac:dyDescent="0.2">
      <c r="L2228" t="str">
        <f t="shared" si="35"/>
        <v/>
      </c>
    </row>
    <row r="2229" spans="12:12" x14ac:dyDescent="0.2">
      <c r="L2229" t="str">
        <f t="shared" si="35"/>
        <v/>
      </c>
    </row>
    <row r="2230" spans="12:12" x14ac:dyDescent="0.2">
      <c r="L2230" t="str">
        <f t="shared" si="35"/>
        <v/>
      </c>
    </row>
    <row r="2231" spans="12:12" x14ac:dyDescent="0.2">
      <c r="L2231" t="str">
        <f t="shared" si="35"/>
        <v/>
      </c>
    </row>
    <row r="2232" spans="12:12" x14ac:dyDescent="0.2">
      <c r="L2232" t="str">
        <f t="shared" si="35"/>
        <v/>
      </c>
    </row>
    <row r="2233" spans="12:12" x14ac:dyDescent="0.2">
      <c r="L2233" t="str">
        <f t="shared" si="35"/>
        <v/>
      </c>
    </row>
    <row r="2234" spans="12:12" x14ac:dyDescent="0.2">
      <c r="L2234" t="str">
        <f t="shared" si="35"/>
        <v/>
      </c>
    </row>
    <row r="2235" spans="12:12" x14ac:dyDescent="0.2">
      <c r="L2235" t="str">
        <f t="shared" si="35"/>
        <v/>
      </c>
    </row>
    <row r="2236" spans="12:12" x14ac:dyDescent="0.2">
      <c r="L2236" t="str">
        <f t="shared" si="35"/>
        <v/>
      </c>
    </row>
    <row r="2237" spans="12:12" x14ac:dyDescent="0.2">
      <c r="L2237" t="str">
        <f t="shared" si="35"/>
        <v/>
      </c>
    </row>
    <row r="2238" spans="12:12" x14ac:dyDescent="0.2">
      <c r="L2238" t="str">
        <f t="shared" si="35"/>
        <v/>
      </c>
    </row>
    <row r="2239" spans="12:12" x14ac:dyDescent="0.2">
      <c r="L2239" t="str">
        <f t="shared" si="35"/>
        <v/>
      </c>
    </row>
    <row r="2240" spans="12:12" x14ac:dyDescent="0.2">
      <c r="L2240" t="str">
        <f t="shared" si="35"/>
        <v/>
      </c>
    </row>
    <row r="2241" spans="12:12" x14ac:dyDescent="0.2">
      <c r="L2241" t="str">
        <f t="shared" si="35"/>
        <v/>
      </c>
    </row>
    <row r="2242" spans="12:12" x14ac:dyDescent="0.2">
      <c r="L2242" t="str">
        <f t="shared" si="35"/>
        <v/>
      </c>
    </row>
    <row r="2243" spans="12:12" x14ac:dyDescent="0.2">
      <c r="L2243" t="str">
        <f t="shared" si="35"/>
        <v/>
      </c>
    </row>
    <row r="2244" spans="12:12" x14ac:dyDescent="0.2">
      <c r="L2244" t="str">
        <f t="shared" ref="L2244:L2307" si="36">IF(L2243&lt;$I$15,L2243+$I$16,"")</f>
        <v/>
      </c>
    </row>
    <row r="2245" spans="12:12" x14ac:dyDescent="0.2">
      <c r="L2245" t="str">
        <f t="shared" si="36"/>
        <v/>
      </c>
    </row>
    <row r="2246" spans="12:12" x14ac:dyDescent="0.2">
      <c r="L2246" t="str">
        <f t="shared" si="36"/>
        <v/>
      </c>
    </row>
    <row r="2247" spans="12:12" x14ac:dyDescent="0.2">
      <c r="L2247" t="str">
        <f t="shared" si="36"/>
        <v/>
      </c>
    </row>
    <row r="2248" spans="12:12" x14ac:dyDescent="0.2">
      <c r="L2248" t="str">
        <f t="shared" si="36"/>
        <v/>
      </c>
    </row>
    <row r="2249" spans="12:12" x14ac:dyDescent="0.2">
      <c r="L2249" t="str">
        <f t="shared" si="36"/>
        <v/>
      </c>
    </row>
    <row r="2250" spans="12:12" x14ac:dyDescent="0.2">
      <c r="L2250" t="str">
        <f t="shared" si="36"/>
        <v/>
      </c>
    </row>
    <row r="2251" spans="12:12" x14ac:dyDescent="0.2">
      <c r="L2251" t="str">
        <f t="shared" si="36"/>
        <v/>
      </c>
    </row>
    <row r="2252" spans="12:12" x14ac:dyDescent="0.2">
      <c r="L2252" t="str">
        <f t="shared" si="36"/>
        <v/>
      </c>
    </row>
    <row r="2253" spans="12:12" x14ac:dyDescent="0.2">
      <c r="L2253" t="str">
        <f t="shared" si="36"/>
        <v/>
      </c>
    </row>
    <row r="2254" spans="12:12" x14ac:dyDescent="0.2">
      <c r="L2254" t="str">
        <f t="shared" si="36"/>
        <v/>
      </c>
    </row>
    <row r="2255" spans="12:12" x14ac:dyDescent="0.2">
      <c r="L2255" t="str">
        <f t="shared" si="36"/>
        <v/>
      </c>
    </row>
    <row r="2256" spans="12:12" x14ac:dyDescent="0.2">
      <c r="L2256" t="str">
        <f t="shared" si="36"/>
        <v/>
      </c>
    </row>
    <row r="2257" spans="12:12" x14ac:dyDescent="0.2">
      <c r="L2257" t="str">
        <f t="shared" si="36"/>
        <v/>
      </c>
    </row>
    <row r="2258" spans="12:12" x14ac:dyDescent="0.2">
      <c r="L2258" t="str">
        <f t="shared" si="36"/>
        <v/>
      </c>
    </row>
    <row r="2259" spans="12:12" x14ac:dyDescent="0.2">
      <c r="L2259" t="str">
        <f t="shared" si="36"/>
        <v/>
      </c>
    </row>
    <row r="2260" spans="12:12" x14ac:dyDescent="0.2">
      <c r="L2260" t="str">
        <f t="shared" si="36"/>
        <v/>
      </c>
    </row>
    <row r="2261" spans="12:12" x14ac:dyDescent="0.2">
      <c r="L2261" t="str">
        <f t="shared" si="36"/>
        <v/>
      </c>
    </row>
    <row r="2262" spans="12:12" x14ac:dyDescent="0.2">
      <c r="L2262" t="str">
        <f t="shared" si="36"/>
        <v/>
      </c>
    </row>
    <row r="2263" spans="12:12" x14ac:dyDescent="0.2">
      <c r="L2263" t="str">
        <f t="shared" si="36"/>
        <v/>
      </c>
    </row>
    <row r="2264" spans="12:12" x14ac:dyDescent="0.2">
      <c r="L2264" t="str">
        <f t="shared" si="36"/>
        <v/>
      </c>
    </row>
    <row r="2265" spans="12:12" x14ac:dyDescent="0.2">
      <c r="L2265" t="str">
        <f t="shared" si="36"/>
        <v/>
      </c>
    </row>
    <row r="2266" spans="12:12" x14ac:dyDescent="0.2">
      <c r="L2266" t="str">
        <f t="shared" si="36"/>
        <v/>
      </c>
    </row>
    <row r="2267" spans="12:12" x14ac:dyDescent="0.2">
      <c r="L2267" t="str">
        <f t="shared" si="36"/>
        <v/>
      </c>
    </row>
    <row r="2268" spans="12:12" x14ac:dyDescent="0.2">
      <c r="L2268" t="str">
        <f t="shared" si="36"/>
        <v/>
      </c>
    </row>
    <row r="2269" spans="12:12" x14ac:dyDescent="0.2">
      <c r="L2269" t="str">
        <f t="shared" si="36"/>
        <v/>
      </c>
    </row>
    <row r="2270" spans="12:12" x14ac:dyDescent="0.2">
      <c r="L2270" t="str">
        <f t="shared" si="36"/>
        <v/>
      </c>
    </row>
    <row r="2271" spans="12:12" x14ac:dyDescent="0.2">
      <c r="L2271" t="str">
        <f t="shared" si="36"/>
        <v/>
      </c>
    </row>
    <row r="2272" spans="12:12" x14ac:dyDescent="0.2">
      <c r="L2272" t="str">
        <f t="shared" si="36"/>
        <v/>
      </c>
    </row>
    <row r="2273" spans="12:12" x14ac:dyDescent="0.2">
      <c r="L2273" t="str">
        <f t="shared" si="36"/>
        <v/>
      </c>
    </row>
    <row r="2274" spans="12:12" x14ac:dyDescent="0.2">
      <c r="L2274" t="str">
        <f t="shared" si="36"/>
        <v/>
      </c>
    </row>
    <row r="2275" spans="12:12" x14ac:dyDescent="0.2">
      <c r="L2275" t="str">
        <f t="shared" si="36"/>
        <v/>
      </c>
    </row>
    <row r="2276" spans="12:12" x14ac:dyDescent="0.2">
      <c r="L2276" t="str">
        <f t="shared" si="36"/>
        <v/>
      </c>
    </row>
    <row r="2277" spans="12:12" x14ac:dyDescent="0.2">
      <c r="L2277" t="str">
        <f t="shared" si="36"/>
        <v/>
      </c>
    </row>
    <row r="2278" spans="12:12" x14ac:dyDescent="0.2">
      <c r="L2278" t="str">
        <f t="shared" si="36"/>
        <v/>
      </c>
    </row>
    <row r="2279" spans="12:12" x14ac:dyDescent="0.2">
      <c r="L2279" t="str">
        <f t="shared" si="36"/>
        <v/>
      </c>
    </row>
    <row r="2280" spans="12:12" x14ac:dyDescent="0.2">
      <c r="L2280" t="str">
        <f t="shared" si="36"/>
        <v/>
      </c>
    </row>
    <row r="2281" spans="12:12" x14ac:dyDescent="0.2">
      <c r="L2281" t="str">
        <f t="shared" si="36"/>
        <v/>
      </c>
    </row>
    <row r="2282" spans="12:12" x14ac:dyDescent="0.2">
      <c r="L2282" t="str">
        <f t="shared" si="36"/>
        <v/>
      </c>
    </row>
    <row r="2283" spans="12:12" x14ac:dyDescent="0.2">
      <c r="L2283" t="str">
        <f t="shared" si="36"/>
        <v/>
      </c>
    </row>
    <row r="2284" spans="12:12" x14ac:dyDescent="0.2">
      <c r="L2284" t="str">
        <f t="shared" si="36"/>
        <v/>
      </c>
    </row>
    <row r="2285" spans="12:12" x14ac:dyDescent="0.2">
      <c r="L2285" t="str">
        <f t="shared" si="36"/>
        <v/>
      </c>
    </row>
    <row r="2286" spans="12:12" x14ac:dyDescent="0.2">
      <c r="L2286" t="str">
        <f t="shared" si="36"/>
        <v/>
      </c>
    </row>
    <row r="2287" spans="12:12" x14ac:dyDescent="0.2">
      <c r="L2287" t="str">
        <f t="shared" si="36"/>
        <v/>
      </c>
    </row>
    <row r="2288" spans="12:12" x14ac:dyDescent="0.2">
      <c r="L2288" t="str">
        <f t="shared" si="36"/>
        <v/>
      </c>
    </row>
    <row r="2289" spans="12:12" x14ac:dyDescent="0.2">
      <c r="L2289" t="str">
        <f t="shared" si="36"/>
        <v/>
      </c>
    </row>
    <row r="2290" spans="12:12" x14ac:dyDescent="0.2">
      <c r="L2290" t="str">
        <f t="shared" si="36"/>
        <v/>
      </c>
    </row>
    <row r="2291" spans="12:12" x14ac:dyDescent="0.2">
      <c r="L2291" t="str">
        <f t="shared" si="36"/>
        <v/>
      </c>
    </row>
    <row r="2292" spans="12:12" x14ac:dyDescent="0.2">
      <c r="L2292" t="str">
        <f t="shared" si="36"/>
        <v/>
      </c>
    </row>
    <row r="2293" spans="12:12" x14ac:dyDescent="0.2">
      <c r="L2293" t="str">
        <f t="shared" si="36"/>
        <v/>
      </c>
    </row>
    <row r="2294" spans="12:12" x14ac:dyDescent="0.2">
      <c r="L2294" t="str">
        <f t="shared" si="36"/>
        <v/>
      </c>
    </row>
    <row r="2295" spans="12:12" x14ac:dyDescent="0.2">
      <c r="L2295" t="str">
        <f t="shared" si="36"/>
        <v/>
      </c>
    </row>
    <row r="2296" spans="12:12" x14ac:dyDescent="0.2">
      <c r="L2296" t="str">
        <f t="shared" si="36"/>
        <v/>
      </c>
    </row>
    <row r="2297" spans="12:12" x14ac:dyDescent="0.2">
      <c r="L2297" t="str">
        <f t="shared" si="36"/>
        <v/>
      </c>
    </row>
    <row r="2298" spans="12:12" x14ac:dyDescent="0.2">
      <c r="L2298" t="str">
        <f t="shared" si="36"/>
        <v/>
      </c>
    </row>
    <row r="2299" spans="12:12" x14ac:dyDescent="0.2">
      <c r="L2299" t="str">
        <f t="shared" si="36"/>
        <v/>
      </c>
    </row>
    <row r="2300" spans="12:12" x14ac:dyDescent="0.2">
      <c r="L2300" t="str">
        <f t="shared" si="36"/>
        <v/>
      </c>
    </row>
    <row r="2301" spans="12:12" x14ac:dyDescent="0.2">
      <c r="L2301" t="str">
        <f t="shared" si="36"/>
        <v/>
      </c>
    </row>
    <row r="2302" spans="12:12" x14ac:dyDescent="0.2">
      <c r="L2302" t="str">
        <f t="shared" si="36"/>
        <v/>
      </c>
    </row>
    <row r="2303" spans="12:12" x14ac:dyDescent="0.2">
      <c r="L2303" t="str">
        <f t="shared" si="36"/>
        <v/>
      </c>
    </row>
    <row r="2304" spans="12:12" x14ac:dyDescent="0.2">
      <c r="L2304" t="str">
        <f t="shared" si="36"/>
        <v/>
      </c>
    </row>
    <row r="2305" spans="12:12" x14ac:dyDescent="0.2">
      <c r="L2305" t="str">
        <f t="shared" si="36"/>
        <v/>
      </c>
    </row>
    <row r="2306" spans="12:12" x14ac:dyDescent="0.2">
      <c r="L2306" t="str">
        <f t="shared" si="36"/>
        <v/>
      </c>
    </row>
    <row r="2307" spans="12:12" x14ac:dyDescent="0.2">
      <c r="L2307" t="str">
        <f t="shared" si="36"/>
        <v/>
      </c>
    </row>
    <row r="2308" spans="12:12" x14ac:dyDescent="0.2">
      <c r="L2308" t="str">
        <f t="shared" ref="L2308:L2371" si="37">IF(L2307&lt;$I$15,L2307+$I$16,"")</f>
        <v/>
      </c>
    </row>
    <row r="2309" spans="12:12" x14ac:dyDescent="0.2">
      <c r="L2309" t="str">
        <f t="shared" si="37"/>
        <v/>
      </c>
    </row>
    <row r="2310" spans="12:12" x14ac:dyDescent="0.2">
      <c r="L2310" t="str">
        <f t="shared" si="37"/>
        <v/>
      </c>
    </row>
    <row r="2311" spans="12:12" x14ac:dyDescent="0.2">
      <c r="L2311" t="str">
        <f t="shared" si="37"/>
        <v/>
      </c>
    </row>
    <row r="2312" spans="12:12" x14ac:dyDescent="0.2">
      <c r="L2312" t="str">
        <f t="shared" si="37"/>
        <v/>
      </c>
    </row>
    <row r="2313" spans="12:12" x14ac:dyDescent="0.2">
      <c r="L2313" t="str">
        <f t="shared" si="37"/>
        <v/>
      </c>
    </row>
    <row r="2314" spans="12:12" x14ac:dyDescent="0.2">
      <c r="L2314" t="str">
        <f t="shared" si="37"/>
        <v/>
      </c>
    </row>
    <row r="2315" spans="12:12" x14ac:dyDescent="0.2">
      <c r="L2315" t="str">
        <f t="shared" si="37"/>
        <v/>
      </c>
    </row>
    <row r="2316" spans="12:12" x14ac:dyDescent="0.2">
      <c r="L2316" t="str">
        <f t="shared" si="37"/>
        <v/>
      </c>
    </row>
    <row r="2317" spans="12:12" x14ac:dyDescent="0.2">
      <c r="L2317" t="str">
        <f t="shared" si="37"/>
        <v/>
      </c>
    </row>
    <row r="2318" spans="12:12" x14ac:dyDescent="0.2">
      <c r="L2318" t="str">
        <f t="shared" si="37"/>
        <v/>
      </c>
    </row>
    <row r="2319" spans="12:12" x14ac:dyDescent="0.2">
      <c r="L2319" t="str">
        <f t="shared" si="37"/>
        <v/>
      </c>
    </row>
    <row r="2320" spans="12:12" x14ac:dyDescent="0.2">
      <c r="L2320" t="str">
        <f t="shared" si="37"/>
        <v/>
      </c>
    </row>
    <row r="2321" spans="12:12" x14ac:dyDescent="0.2">
      <c r="L2321" t="str">
        <f t="shared" si="37"/>
        <v/>
      </c>
    </row>
    <row r="2322" spans="12:12" x14ac:dyDescent="0.2">
      <c r="L2322" t="str">
        <f t="shared" si="37"/>
        <v/>
      </c>
    </row>
    <row r="2323" spans="12:12" x14ac:dyDescent="0.2">
      <c r="L2323" t="str">
        <f t="shared" si="37"/>
        <v/>
      </c>
    </row>
    <row r="2324" spans="12:12" x14ac:dyDescent="0.2">
      <c r="L2324" t="str">
        <f t="shared" si="37"/>
        <v/>
      </c>
    </row>
    <row r="2325" spans="12:12" x14ac:dyDescent="0.2">
      <c r="L2325" t="str">
        <f t="shared" si="37"/>
        <v/>
      </c>
    </row>
    <row r="2326" spans="12:12" x14ac:dyDescent="0.2">
      <c r="L2326" t="str">
        <f t="shared" si="37"/>
        <v/>
      </c>
    </row>
    <row r="2327" spans="12:12" x14ac:dyDescent="0.2">
      <c r="L2327" t="str">
        <f t="shared" si="37"/>
        <v/>
      </c>
    </row>
    <row r="2328" spans="12:12" x14ac:dyDescent="0.2">
      <c r="L2328" t="str">
        <f t="shared" si="37"/>
        <v/>
      </c>
    </row>
    <row r="2329" spans="12:12" x14ac:dyDescent="0.2">
      <c r="L2329" t="str">
        <f t="shared" si="37"/>
        <v/>
      </c>
    </row>
    <row r="2330" spans="12:12" x14ac:dyDescent="0.2">
      <c r="L2330" t="str">
        <f t="shared" si="37"/>
        <v/>
      </c>
    </row>
    <row r="2331" spans="12:12" x14ac:dyDescent="0.2">
      <c r="L2331" t="str">
        <f t="shared" si="37"/>
        <v/>
      </c>
    </row>
    <row r="2332" spans="12:12" x14ac:dyDescent="0.2">
      <c r="L2332" t="str">
        <f t="shared" si="37"/>
        <v/>
      </c>
    </row>
    <row r="2333" spans="12:12" x14ac:dyDescent="0.2">
      <c r="L2333" t="str">
        <f t="shared" si="37"/>
        <v/>
      </c>
    </row>
    <row r="2334" spans="12:12" x14ac:dyDescent="0.2">
      <c r="L2334" t="str">
        <f t="shared" si="37"/>
        <v/>
      </c>
    </row>
    <row r="2335" spans="12:12" x14ac:dyDescent="0.2">
      <c r="L2335" t="str">
        <f t="shared" si="37"/>
        <v/>
      </c>
    </row>
    <row r="2336" spans="12:12" x14ac:dyDescent="0.2">
      <c r="L2336" t="str">
        <f t="shared" si="37"/>
        <v/>
      </c>
    </row>
    <row r="2337" spans="12:12" x14ac:dyDescent="0.2">
      <c r="L2337" t="str">
        <f t="shared" si="37"/>
        <v/>
      </c>
    </row>
    <row r="2338" spans="12:12" x14ac:dyDescent="0.2">
      <c r="L2338" t="str">
        <f t="shared" si="37"/>
        <v/>
      </c>
    </row>
    <row r="2339" spans="12:12" x14ac:dyDescent="0.2">
      <c r="L2339" t="str">
        <f t="shared" si="37"/>
        <v/>
      </c>
    </row>
    <row r="2340" spans="12:12" x14ac:dyDescent="0.2">
      <c r="L2340" t="str">
        <f t="shared" si="37"/>
        <v/>
      </c>
    </row>
    <row r="2341" spans="12:12" x14ac:dyDescent="0.2">
      <c r="L2341" t="str">
        <f t="shared" si="37"/>
        <v/>
      </c>
    </row>
    <row r="2342" spans="12:12" x14ac:dyDescent="0.2">
      <c r="L2342" t="str">
        <f t="shared" si="37"/>
        <v/>
      </c>
    </row>
    <row r="2343" spans="12:12" x14ac:dyDescent="0.2">
      <c r="L2343" t="str">
        <f t="shared" si="37"/>
        <v/>
      </c>
    </row>
    <row r="2344" spans="12:12" x14ac:dyDescent="0.2">
      <c r="L2344" t="str">
        <f t="shared" si="37"/>
        <v/>
      </c>
    </row>
    <row r="2345" spans="12:12" x14ac:dyDescent="0.2">
      <c r="L2345" t="str">
        <f t="shared" si="37"/>
        <v/>
      </c>
    </row>
    <row r="2346" spans="12:12" x14ac:dyDescent="0.2">
      <c r="L2346" t="str">
        <f t="shared" si="37"/>
        <v/>
      </c>
    </row>
    <row r="2347" spans="12:12" x14ac:dyDescent="0.2">
      <c r="L2347" t="str">
        <f t="shared" si="37"/>
        <v/>
      </c>
    </row>
    <row r="2348" spans="12:12" x14ac:dyDescent="0.2">
      <c r="L2348" t="str">
        <f t="shared" si="37"/>
        <v/>
      </c>
    </row>
    <row r="2349" spans="12:12" x14ac:dyDescent="0.2">
      <c r="L2349" t="str">
        <f t="shared" si="37"/>
        <v/>
      </c>
    </row>
    <row r="2350" spans="12:12" x14ac:dyDescent="0.2">
      <c r="L2350" t="str">
        <f t="shared" si="37"/>
        <v/>
      </c>
    </row>
    <row r="2351" spans="12:12" x14ac:dyDescent="0.2">
      <c r="L2351" t="str">
        <f t="shared" si="37"/>
        <v/>
      </c>
    </row>
    <row r="2352" spans="12:12" x14ac:dyDescent="0.2">
      <c r="L2352" t="str">
        <f t="shared" si="37"/>
        <v/>
      </c>
    </row>
    <row r="2353" spans="12:12" x14ac:dyDescent="0.2">
      <c r="L2353" t="str">
        <f t="shared" si="37"/>
        <v/>
      </c>
    </row>
    <row r="2354" spans="12:12" x14ac:dyDescent="0.2">
      <c r="L2354" t="str">
        <f t="shared" si="37"/>
        <v/>
      </c>
    </row>
    <row r="2355" spans="12:12" x14ac:dyDescent="0.2">
      <c r="L2355" t="str">
        <f t="shared" si="37"/>
        <v/>
      </c>
    </row>
    <row r="2356" spans="12:12" x14ac:dyDescent="0.2">
      <c r="L2356" t="str">
        <f t="shared" si="37"/>
        <v/>
      </c>
    </row>
    <row r="2357" spans="12:12" x14ac:dyDescent="0.2">
      <c r="L2357" t="str">
        <f t="shared" si="37"/>
        <v/>
      </c>
    </row>
    <row r="2358" spans="12:12" x14ac:dyDescent="0.2">
      <c r="L2358" t="str">
        <f t="shared" si="37"/>
        <v/>
      </c>
    </row>
    <row r="2359" spans="12:12" x14ac:dyDescent="0.2">
      <c r="L2359" t="str">
        <f t="shared" si="37"/>
        <v/>
      </c>
    </row>
    <row r="2360" spans="12:12" x14ac:dyDescent="0.2">
      <c r="L2360" t="str">
        <f t="shared" si="37"/>
        <v/>
      </c>
    </row>
    <row r="2361" spans="12:12" x14ac:dyDescent="0.2">
      <c r="L2361" t="str">
        <f t="shared" si="37"/>
        <v/>
      </c>
    </row>
    <row r="2362" spans="12:12" x14ac:dyDescent="0.2">
      <c r="L2362" t="str">
        <f t="shared" si="37"/>
        <v/>
      </c>
    </row>
    <row r="2363" spans="12:12" x14ac:dyDescent="0.2">
      <c r="L2363" t="str">
        <f t="shared" si="37"/>
        <v/>
      </c>
    </row>
    <row r="2364" spans="12:12" x14ac:dyDescent="0.2">
      <c r="L2364" t="str">
        <f t="shared" si="37"/>
        <v/>
      </c>
    </row>
    <row r="2365" spans="12:12" x14ac:dyDescent="0.2">
      <c r="L2365" t="str">
        <f t="shared" si="37"/>
        <v/>
      </c>
    </row>
    <row r="2366" spans="12:12" x14ac:dyDescent="0.2">
      <c r="L2366" t="str">
        <f t="shared" si="37"/>
        <v/>
      </c>
    </row>
    <row r="2367" spans="12:12" x14ac:dyDescent="0.2">
      <c r="L2367" t="str">
        <f t="shared" si="37"/>
        <v/>
      </c>
    </row>
    <row r="2368" spans="12:12" x14ac:dyDescent="0.2">
      <c r="L2368" t="str">
        <f t="shared" si="37"/>
        <v/>
      </c>
    </row>
    <row r="2369" spans="12:12" x14ac:dyDescent="0.2">
      <c r="L2369" t="str">
        <f t="shared" si="37"/>
        <v/>
      </c>
    </row>
    <row r="2370" spans="12:12" x14ac:dyDescent="0.2">
      <c r="L2370" t="str">
        <f t="shared" si="37"/>
        <v/>
      </c>
    </row>
    <row r="2371" spans="12:12" x14ac:dyDescent="0.2">
      <c r="L2371" t="str">
        <f t="shared" si="37"/>
        <v/>
      </c>
    </row>
    <row r="2372" spans="12:12" x14ac:dyDescent="0.2">
      <c r="L2372" t="str">
        <f t="shared" ref="L2372:L2435" si="38">IF(L2371&lt;$I$15,L2371+$I$16,"")</f>
        <v/>
      </c>
    </row>
    <row r="2373" spans="12:12" x14ac:dyDescent="0.2">
      <c r="L2373" t="str">
        <f t="shared" si="38"/>
        <v/>
      </c>
    </row>
    <row r="2374" spans="12:12" x14ac:dyDescent="0.2">
      <c r="L2374" t="str">
        <f t="shared" si="38"/>
        <v/>
      </c>
    </row>
    <row r="2375" spans="12:12" x14ac:dyDescent="0.2">
      <c r="L2375" t="str">
        <f t="shared" si="38"/>
        <v/>
      </c>
    </row>
    <row r="2376" spans="12:12" x14ac:dyDescent="0.2">
      <c r="L2376" t="str">
        <f t="shared" si="38"/>
        <v/>
      </c>
    </row>
    <row r="2377" spans="12:12" x14ac:dyDescent="0.2">
      <c r="L2377" t="str">
        <f t="shared" si="38"/>
        <v/>
      </c>
    </row>
    <row r="2378" spans="12:12" x14ac:dyDescent="0.2">
      <c r="L2378" t="str">
        <f t="shared" si="38"/>
        <v/>
      </c>
    </row>
    <row r="2379" spans="12:12" x14ac:dyDescent="0.2">
      <c r="L2379" t="str">
        <f t="shared" si="38"/>
        <v/>
      </c>
    </row>
    <row r="2380" spans="12:12" x14ac:dyDescent="0.2">
      <c r="L2380" t="str">
        <f t="shared" si="38"/>
        <v/>
      </c>
    </row>
    <row r="2381" spans="12:12" x14ac:dyDescent="0.2">
      <c r="L2381" t="str">
        <f t="shared" si="38"/>
        <v/>
      </c>
    </row>
    <row r="2382" spans="12:12" x14ac:dyDescent="0.2">
      <c r="L2382" t="str">
        <f t="shared" si="38"/>
        <v/>
      </c>
    </row>
    <row r="2383" spans="12:12" x14ac:dyDescent="0.2">
      <c r="L2383" t="str">
        <f t="shared" si="38"/>
        <v/>
      </c>
    </row>
    <row r="2384" spans="12:12" x14ac:dyDescent="0.2">
      <c r="L2384" t="str">
        <f t="shared" si="38"/>
        <v/>
      </c>
    </row>
    <row r="2385" spans="12:12" x14ac:dyDescent="0.2">
      <c r="L2385" t="str">
        <f t="shared" si="38"/>
        <v/>
      </c>
    </row>
    <row r="2386" spans="12:12" x14ac:dyDescent="0.2">
      <c r="L2386" t="str">
        <f t="shared" si="38"/>
        <v/>
      </c>
    </row>
    <row r="2387" spans="12:12" x14ac:dyDescent="0.2">
      <c r="L2387" t="str">
        <f t="shared" si="38"/>
        <v/>
      </c>
    </row>
    <row r="2388" spans="12:12" x14ac:dyDescent="0.2">
      <c r="L2388" t="str">
        <f t="shared" si="38"/>
        <v/>
      </c>
    </row>
    <row r="2389" spans="12:12" x14ac:dyDescent="0.2">
      <c r="L2389" t="str">
        <f t="shared" si="38"/>
        <v/>
      </c>
    </row>
    <row r="2390" spans="12:12" x14ac:dyDescent="0.2">
      <c r="L2390" t="str">
        <f t="shared" si="38"/>
        <v/>
      </c>
    </row>
    <row r="2391" spans="12:12" x14ac:dyDescent="0.2">
      <c r="L2391" t="str">
        <f t="shared" si="38"/>
        <v/>
      </c>
    </row>
    <row r="2392" spans="12:12" x14ac:dyDescent="0.2">
      <c r="L2392" t="str">
        <f t="shared" si="38"/>
        <v/>
      </c>
    </row>
    <row r="2393" spans="12:12" x14ac:dyDescent="0.2">
      <c r="L2393" t="str">
        <f t="shared" si="38"/>
        <v/>
      </c>
    </row>
    <row r="2394" spans="12:12" x14ac:dyDescent="0.2">
      <c r="L2394" t="str">
        <f t="shared" si="38"/>
        <v/>
      </c>
    </row>
    <row r="2395" spans="12:12" x14ac:dyDescent="0.2">
      <c r="L2395" t="str">
        <f t="shared" si="38"/>
        <v/>
      </c>
    </row>
    <row r="2396" spans="12:12" x14ac:dyDescent="0.2">
      <c r="L2396" t="str">
        <f t="shared" si="38"/>
        <v/>
      </c>
    </row>
    <row r="2397" spans="12:12" x14ac:dyDescent="0.2">
      <c r="L2397" t="str">
        <f t="shared" si="38"/>
        <v/>
      </c>
    </row>
    <row r="2398" spans="12:12" x14ac:dyDescent="0.2">
      <c r="L2398" t="str">
        <f t="shared" si="38"/>
        <v/>
      </c>
    </row>
    <row r="2399" spans="12:12" x14ac:dyDescent="0.2">
      <c r="L2399" t="str">
        <f t="shared" si="38"/>
        <v/>
      </c>
    </row>
    <row r="2400" spans="12:12" x14ac:dyDescent="0.2">
      <c r="L2400" t="str">
        <f t="shared" si="38"/>
        <v/>
      </c>
    </row>
    <row r="2401" spans="12:12" x14ac:dyDescent="0.2">
      <c r="L2401" t="str">
        <f t="shared" si="38"/>
        <v/>
      </c>
    </row>
    <row r="2402" spans="12:12" x14ac:dyDescent="0.2">
      <c r="L2402" t="str">
        <f t="shared" si="38"/>
        <v/>
      </c>
    </row>
    <row r="2403" spans="12:12" x14ac:dyDescent="0.2">
      <c r="L2403" t="str">
        <f t="shared" si="38"/>
        <v/>
      </c>
    </row>
    <row r="2404" spans="12:12" x14ac:dyDescent="0.2">
      <c r="L2404" t="str">
        <f t="shared" si="38"/>
        <v/>
      </c>
    </row>
    <row r="2405" spans="12:12" x14ac:dyDescent="0.2">
      <c r="L2405" t="str">
        <f t="shared" si="38"/>
        <v/>
      </c>
    </row>
    <row r="2406" spans="12:12" x14ac:dyDescent="0.2">
      <c r="L2406" t="str">
        <f t="shared" si="38"/>
        <v/>
      </c>
    </row>
    <row r="2407" spans="12:12" x14ac:dyDescent="0.2">
      <c r="L2407" t="str">
        <f t="shared" si="38"/>
        <v/>
      </c>
    </row>
    <row r="2408" spans="12:12" x14ac:dyDescent="0.2">
      <c r="L2408" t="str">
        <f t="shared" si="38"/>
        <v/>
      </c>
    </row>
    <row r="2409" spans="12:12" x14ac:dyDescent="0.2">
      <c r="L2409" t="str">
        <f t="shared" si="38"/>
        <v/>
      </c>
    </row>
    <row r="2410" spans="12:12" x14ac:dyDescent="0.2">
      <c r="L2410" t="str">
        <f t="shared" si="38"/>
        <v/>
      </c>
    </row>
    <row r="2411" spans="12:12" x14ac:dyDescent="0.2">
      <c r="L2411" t="str">
        <f t="shared" si="38"/>
        <v/>
      </c>
    </row>
    <row r="2412" spans="12:12" x14ac:dyDescent="0.2">
      <c r="L2412" t="str">
        <f t="shared" si="38"/>
        <v/>
      </c>
    </row>
    <row r="2413" spans="12:12" x14ac:dyDescent="0.2">
      <c r="L2413" t="str">
        <f t="shared" si="38"/>
        <v/>
      </c>
    </row>
    <row r="2414" spans="12:12" x14ac:dyDescent="0.2">
      <c r="L2414" t="str">
        <f t="shared" si="38"/>
        <v/>
      </c>
    </row>
    <row r="2415" spans="12:12" x14ac:dyDescent="0.2">
      <c r="L2415" t="str">
        <f t="shared" si="38"/>
        <v/>
      </c>
    </row>
    <row r="2416" spans="12:12" x14ac:dyDescent="0.2">
      <c r="L2416" t="str">
        <f t="shared" si="38"/>
        <v/>
      </c>
    </row>
    <row r="2417" spans="12:12" x14ac:dyDescent="0.2">
      <c r="L2417" t="str">
        <f t="shared" si="38"/>
        <v/>
      </c>
    </row>
    <row r="2418" spans="12:12" x14ac:dyDescent="0.2">
      <c r="L2418" t="str">
        <f t="shared" si="38"/>
        <v/>
      </c>
    </row>
    <row r="2419" spans="12:12" x14ac:dyDescent="0.2">
      <c r="L2419" t="str">
        <f t="shared" si="38"/>
        <v/>
      </c>
    </row>
    <row r="2420" spans="12:12" x14ac:dyDescent="0.2">
      <c r="L2420" t="str">
        <f t="shared" si="38"/>
        <v/>
      </c>
    </row>
    <row r="2421" spans="12:12" x14ac:dyDescent="0.2">
      <c r="L2421" t="str">
        <f t="shared" si="38"/>
        <v/>
      </c>
    </row>
    <row r="2422" spans="12:12" x14ac:dyDescent="0.2">
      <c r="L2422" t="str">
        <f t="shared" si="38"/>
        <v/>
      </c>
    </row>
    <row r="2423" spans="12:12" x14ac:dyDescent="0.2">
      <c r="L2423" t="str">
        <f t="shared" si="38"/>
        <v/>
      </c>
    </row>
    <row r="2424" spans="12:12" x14ac:dyDescent="0.2">
      <c r="L2424" t="str">
        <f t="shared" si="38"/>
        <v/>
      </c>
    </row>
    <row r="2425" spans="12:12" x14ac:dyDescent="0.2">
      <c r="L2425" t="str">
        <f t="shared" si="38"/>
        <v/>
      </c>
    </row>
    <row r="2426" spans="12:12" x14ac:dyDescent="0.2">
      <c r="L2426" t="str">
        <f t="shared" si="38"/>
        <v/>
      </c>
    </row>
    <row r="2427" spans="12:12" x14ac:dyDescent="0.2">
      <c r="L2427" t="str">
        <f t="shared" si="38"/>
        <v/>
      </c>
    </row>
    <row r="2428" spans="12:12" x14ac:dyDescent="0.2">
      <c r="L2428" t="str">
        <f t="shared" si="38"/>
        <v/>
      </c>
    </row>
    <row r="2429" spans="12:12" x14ac:dyDescent="0.2">
      <c r="L2429" t="str">
        <f t="shared" si="38"/>
        <v/>
      </c>
    </row>
    <row r="2430" spans="12:12" x14ac:dyDescent="0.2">
      <c r="L2430" t="str">
        <f t="shared" si="38"/>
        <v/>
      </c>
    </row>
    <row r="2431" spans="12:12" x14ac:dyDescent="0.2">
      <c r="L2431" t="str">
        <f t="shared" si="38"/>
        <v/>
      </c>
    </row>
    <row r="2432" spans="12:12" x14ac:dyDescent="0.2">
      <c r="L2432" t="str">
        <f t="shared" si="38"/>
        <v/>
      </c>
    </row>
    <row r="2433" spans="12:12" x14ac:dyDescent="0.2">
      <c r="L2433" t="str">
        <f t="shared" si="38"/>
        <v/>
      </c>
    </row>
    <row r="2434" spans="12:12" x14ac:dyDescent="0.2">
      <c r="L2434" t="str">
        <f t="shared" si="38"/>
        <v/>
      </c>
    </row>
    <row r="2435" spans="12:12" x14ac:dyDescent="0.2">
      <c r="L2435" t="str">
        <f t="shared" si="38"/>
        <v/>
      </c>
    </row>
    <row r="2436" spans="12:12" x14ac:dyDescent="0.2">
      <c r="L2436" t="str">
        <f t="shared" ref="L2436:L2499" si="39">IF(L2435&lt;$I$15,L2435+$I$16,"")</f>
        <v/>
      </c>
    </row>
    <row r="2437" spans="12:12" x14ac:dyDescent="0.2">
      <c r="L2437" t="str">
        <f t="shared" si="39"/>
        <v/>
      </c>
    </row>
    <row r="2438" spans="12:12" x14ac:dyDescent="0.2">
      <c r="L2438" t="str">
        <f t="shared" si="39"/>
        <v/>
      </c>
    </row>
    <row r="2439" spans="12:12" x14ac:dyDescent="0.2">
      <c r="L2439" t="str">
        <f t="shared" si="39"/>
        <v/>
      </c>
    </row>
    <row r="2440" spans="12:12" x14ac:dyDescent="0.2">
      <c r="L2440" t="str">
        <f t="shared" si="39"/>
        <v/>
      </c>
    </row>
    <row r="2441" spans="12:12" x14ac:dyDescent="0.2">
      <c r="L2441" t="str">
        <f t="shared" si="39"/>
        <v/>
      </c>
    </row>
    <row r="2442" spans="12:12" x14ac:dyDescent="0.2">
      <c r="L2442" t="str">
        <f t="shared" si="39"/>
        <v/>
      </c>
    </row>
    <row r="2443" spans="12:12" x14ac:dyDescent="0.2">
      <c r="L2443" t="str">
        <f t="shared" si="39"/>
        <v/>
      </c>
    </row>
    <row r="2444" spans="12:12" x14ac:dyDescent="0.2">
      <c r="L2444" t="str">
        <f t="shared" si="39"/>
        <v/>
      </c>
    </row>
    <row r="2445" spans="12:12" x14ac:dyDescent="0.2">
      <c r="L2445" t="str">
        <f t="shared" si="39"/>
        <v/>
      </c>
    </row>
    <row r="2446" spans="12:12" x14ac:dyDescent="0.2">
      <c r="L2446" t="str">
        <f t="shared" si="39"/>
        <v/>
      </c>
    </row>
    <row r="2447" spans="12:12" x14ac:dyDescent="0.2">
      <c r="L2447" t="str">
        <f t="shared" si="39"/>
        <v/>
      </c>
    </row>
    <row r="2448" spans="12:12" x14ac:dyDescent="0.2">
      <c r="L2448" t="str">
        <f t="shared" si="39"/>
        <v/>
      </c>
    </row>
    <row r="2449" spans="12:12" x14ac:dyDescent="0.2">
      <c r="L2449" t="str">
        <f t="shared" si="39"/>
        <v/>
      </c>
    </row>
    <row r="2450" spans="12:12" x14ac:dyDescent="0.2">
      <c r="L2450" t="str">
        <f t="shared" si="39"/>
        <v/>
      </c>
    </row>
    <row r="2451" spans="12:12" x14ac:dyDescent="0.2">
      <c r="L2451" t="str">
        <f t="shared" si="39"/>
        <v/>
      </c>
    </row>
    <row r="2452" spans="12:12" x14ac:dyDescent="0.2">
      <c r="L2452" t="str">
        <f t="shared" si="39"/>
        <v/>
      </c>
    </row>
    <row r="2453" spans="12:12" x14ac:dyDescent="0.2">
      <c r="L2453" t="str">
        <f t="shared" si="39"/>
        <v/>
      </c>
    </row>
    <row r="2454" spans="12:12" x14ac:dyDescent="0.2">
      <c r="L2454" t="str">
        <f t="shared" si="39"/>
        <v/>
      </c>
    </row>
    <row r="2455" spans="12:12" x14ac:dyDescent="0.2">
      <c r="L2455" t="str">
        <f t="shared" si="39"/>
        <v/>
      </c>
    </row>
    <row r="2456" spans="12:12" x14ac:dyDescent="0.2">
      <c r="L2456" t="str">
        <f t="shared" si="39"/>
        <v/>
      </c>
    </row>
    <row r="2457" spans="12:12" x14ac:dyDescent="0.2">
      <c r="L2457" t="str">
        <f t="shared" si="39"/>
        <v/>
      </c>
    </row>
    <row r="2458" spans="12:12" x14ac:dyDescent="0.2">
      <c r="L2458" t="str">
        <f t="shared" si="39"/>
        <v/>
      </c>
    </row>
    <row r="2459" spans="12:12" x14ac:dyDescent="0.2">
      <c r="L2459" t="str">
        <f t="shared" si="39"/>
        <v/>
      </c>
    </row>
    <row r="2460" spans="12:12" x14ac:dyDescent="0.2">
      <c r="L2460" t="str">
        <f t="shared" si="39"/>
        <v/>
      </c>
    </row>
    <row r="2461" spans="12:12" x14ac:dyDescent="0.2">
      <c r="L2461" t="str">
        <f t="shared" si="39"/>
        <v/>
      </c>
    </row>
    <row r="2462" spans="12:12" x14ac:dyDescent="0.2">
      <c r="L2462" t="str">
        <f t="shared" si="39"/>
        <v/>
      </c>
    </row>
    <row r="2463" spans="12:12" x14ac:dyDescent="0.2">
      <c r="L2463" t="str">
        <f t="shared" si="39"/>
        <v/>
      </c>
    </row>
    <row r="2464" spans="12:12" x14ac:dyDescent="0.2">
      <c r="L2464" t="str">
        <f t="shared" si="39"/>
        <v/>
      </c>
    </row>
    <row r="2465" spans="12:12" x14ac:dyDescent="0.2">
      <c r="L2465" t="str">
        <f t="shared" si="39"/>
        <v/>
      </c>
    </row>
    <row r="2466" spans="12:12" x14ac:dyDescent="0.2">
      <c r="L2466" t="str">
        <f t="shared" si="39"/>
        <v/>
      </c>
    </row>
    <row r="2467" spans="12:12" x14ac:dyDescent="0.2">
      <c r="L2467" t="str">
        <f t="shared" si="39"/>
        <v/>
      </c>
    </row>
    <row r="2468" spans="12:12" x14ac:dyDescent="0.2">
      <c r="L2468" t="str">
        <f t="shared" si="39"/>
        <v/>
      </c>
    </row>
    <row r="2469" spans="12:12" x14ac:dyDescent="0.2">
      <c r="L2469" t="str">
        <f t="shared" si="39"/>
        <v/>
      </c>
    </row>
    <row r="2470" spans="12:12" x14ac:dyDescent="0.2">
      <c r="L2470" t="str">
        <f t="shared" si="39"/>
        <v/>
      </c>
    </row>
    <row r="2471" spans="12:12" x14ac:dyDescent="0.2">
      <c r="L2471" t="str">
        <f t="shared" si="39"/>
        <v/>
      </c>
    </row>
    <row r="2472" spans="12:12" x14ac:dyDescent="0.2">
      <c r="L2472" t="str">
        <f t="shared" si="39"/>
        <v/>
      </c>
    </row>
    <row r="2473" spans="12:12" x14ac:dyDescent="0.2">
      <c r="L2473" t="str">
        <f t="shared" si="39"/>
        <v/>
      </c>
    </row>
    <row r="2474" spans="12:12" x14ac:dyDescent="0.2">
      <c r="L2474" t="str">
        <f t="shared" si="39"/>
        <v/>
      </c>
    </row>
    <row r="2475" spans="12:12" x14ac:dyDescent="0.2">
      <c r="L2475" t="str">
        <f t="shared" si="39"/>
        <v/>
      </c>
    </row>
    <row r="2476" spans="12:12" x14ac:dyDescent="0.2">
      <c r="L2476" t="str">
        <f t="shared" si="39"/>
        <v/>
      </c>
    </row>
    <row r="2477" spans="12:12" x14ac:dyDescent="0.2">
      <c r="L2477" t="str">
        <f t="shared" si="39"/>
        <v/>
      </c>
    </row>
    <row r="2478" spans="12:12" x14ac:dyDescent="0.2">
      <c r="L2478" t="str">
        <f t="shared" si="39"/>
        <v/>
      </c>
    </row>
    <row r="2479" spans="12:12" x14ac:dyDescent="0.2">
      <c r="L2479" t="str">
        <f t="shared" si="39"/>
        <v/>
      </c>
    </row>
    <row r="2480" spans="12:12" x14ac:dyDescent="0.2">
      <c r="L2480" t="str">
        <f t="shared" si="39"/>
        <v/>
      </c>
    </row>
    <row r="2481" spans="12:12" x14ac:dyDescent="0.2">
      <c r="L2481" t="str">
        <f t="shared" si="39"/>
        <v/>
      </c>
    </row>
    <row r="2482" spans="12:12" x14ac:dyDescent="0.2">
      <c r="L2482" t="str">
        <f t="shared" si="39"/>
        <v/>
      </c>
    </row>
    <row r="2483" spans="12:12" x14ac:dyDescent="0.2">
      <c r="L2483" t="str">
        <f t="shared" si="39"/>
        <v/>
      </c>
    </row>
    <row r="2484" spans="12:12" x14ac:dyDescent="0.2">
      <c r="L2484" t="str">
        <f t="shared" si="39"/>
        <v/>
      </c>
    </row>
    <row r="2485" spans="12:12" x14ac:dyDescent="0.2">
      <c r="L2485" t="str">
        <f t="shared" si="39"/>
        <v/>
      </c>
    </row>
    <row r="2486" spans="12:12" x14ac:dyDescent="0.2">
      <c r="L2486" t="str">
        <f t="shared" si="39"/>
        <v/>
      </c>
    </row>
    <row r="2487" spans="12:12" x14ac:dyDescent="0.2">
      <c r="L2487" t="str">
        <f t="shared" si="39"/>
        <v/>
      </c>
    </row>
    <row r="2488" spans="12:12" x14ac:dyDescent="0.2">
      <c r="L2488" t="str">
        <f t="shared" si="39"/>
        <v/>
      </c>
    </row>
    <row r="2489" spans="12:12" x14ac:dyDescent="0.2">
      <c r="L2489" t="str">
        <f t="shared" si="39"/>
        <v/>
      </c>
    </row>
    <row r="2490" spans="12:12" x14ac:dyDescent="0.2">
      <c r="L2490" t="str">
        <f t="shared" si="39"/>
        <v/>
      </c>
    </row>
    <row r="2491" spans="12:12" x14ac:dyDescent="0.2">
      <c r="L2491" t="str">
        <f t="shared" si="39"/>
        <v/>
      </c>
    </row>
    <row r="2492" spans="12:12" x14ac:dyDescent="0.2">
      <c r="L2492" t="str">
        <f t="shared" si="39"/>
        <v/>
      </c>
    </row>
    <row r="2493" spans="12:12" x14ac:dyDescent="0.2">
      <c r="L2493" t="str">
        <f t="shared" si="39"/>
        <v/>
      </c>
    </row>
    <row r="2494" spans="12:12" x14ac:dyDescent="0.2">
      <c r="L2494" t="str">
        <f t="shared" si="39"/>
        <v/>
      </c>
    </row>
    <row r="2495" spans="12:12" x14ac:dyDescent="0.2">
      <c r="L2495" t="str">
        <f t="shared" si="39"/>
        <v/>
      </c>
    </row>
    <row r="2496" spans="12:12" x14ac:dyDescent="0.2">
      <c r="L2496" t="str">
        <f t="shared" si="39"/>
        <v/>
      </c>
    </row>
    <row r="2497" spans="12:12" x14ac:dyDescent="0.2">
      <c r="L2497" t="str">
        <f t="shared" si="39"/>
        <v/>
      </c>
    </row>
    <row r="2498" spans="12:12" x14ac:dyDescent="0.2">
      <c r="L2498" t="str">
        <f t="shared" si="39"/>
        <v/>
      </c>
    </row>
    <row r="2499" spans="12:12" x14ac:dyDescent="0.2">
      <c r="L2499" t="str">
        <f t="shared" si="39"/>
        <v/>
      </c>
    </row>
    <row r="2500" spans="12:12" x14ac:dyDescent="0.2">
      <c r="L2500" t="str">
        <f t="shared" ref="L2500:L2563" si="40">IF(L2499&lt;$I$15,L2499+$I$16,"")</f>
        <v/>
      </c>
    </row>
    <row r="2501" spans="12:12" x14ac:dyDescent="0.2">
      <c r="L2501" t="str">
        <f t="shared" si="40"/>
        <v/>
      </c>
    </row>
    <row r="2502" spans="12:12" x14ac:dyDescent="0.2">
      <c r="L2502" t="str">
        <f t="shared" si="40"/>
        <v/>
      </c>
    </row>
    <row r="2503" spans="12:12" x14ac:dyDescent="0.2">
      <c r="L2503" t="str">
        <f t="shared" si="40"/>
        <v/>
      </c>
    </row>
    <row r="2504" spans="12:12" x14ac:dyDescent="0.2">
      <c r="L2504" t="str">
        <f t="shared" si="40"/>
        <v/>
      </c>
    </row>
    <row r="2505" spans="12:12" x14ac:dyDescent="0.2">
      <c r="L2505" t="str">
        <f t="shared" si="40"/>
        <v/>
      </c>
    </row>
    <row r="2506" spans="12:12" x14ac:dyDescent="0.2">
      <c r="L2506" t="str">
        <f t="shared" si="40"/>
        <v/>
      </c>
    </row>
    <row r="2507" spans="12:12" x14ac:dyDescent="0.2">
      <c r="L2507" t="str">
        <f t="shared" si="40"/>
        <v/>
      </c>
    </row>
    <row r="2508" spans="12:12" x14ac:dyDescent="0.2">
      <c r="L2508" t="str">
        <f t="shared" si="40"/>
        <v/>
      </c>
    </row>
    <row r="2509" spans="12:12" x14ac:dyDescent="0.2">
      <c r="L2509" t="str">
        <f t="shared" si="40"/>
        <v/>
      </c>
    </row>
    <row r="2510" spans="12:12" x14ac:dyDescent="0.2">
      <c r="L2510" t="str">
        <f t="shared" si="40"/>
        <v/>
      </c>
    </row>
    <row r="2511" spans="12:12" x14ac:dyDescent="0.2">
      <c r="L2511" t="str">
        <f t="shared" si="40"/>
        <v/>
      </c>
    </row>
    <row r="2512" spans="12:12" x14ac:dyDescent="0.2">
      <c r="L2512" t="str">
        <f t="shared" si="40"/>
        <v/>
      </c>
    </row>
    <row r="2513" spans="12:12" x14ac:dyDescent="0.2">
      <c r="L2513" t="str">
        <f t="shared" si="40"/>
        <v/>
      </c>
    </row>
    <row r="2514" spans="12:12" x14ac:dyDescent="0.2">
      <c r="L2514" t="str">
        <f t="shared" si="40"/>
        <v/>
      </c>
    </row>
    <row r="2515" spans="12:12" x14ac:dyDescent="0.2">
      <c r="L2515" t="str">
        <f t="shared" si="40"/>
        <v/>
      </c>
    </row>
    <row r="2516" spans="12:12" x14ac:dyDescent="0.2">
      <c r="L2516" t="str">
        <f t="shared" si="40"/>
        <v/>
      </c>
    </row>
    <row r="2517" spans="12:12" x14ac:dyDescent="0.2">
      <c r="L2517" t="str">
        <f t="shared" si="40"/>
        <v/>
      </c>
    </row>
    <row r="2518" spans="12:12" x14ac:dyDescent="0.2">
      <c r="L2518" t="str">
        <f t="shared" si="40"/>
        <v/>
      </c>
    </row>
    <row r="2519" spans="12:12" x14ac:dyDescent="0.2">
      <c r="L2519" t="str">
        <f t="shared" si="40"/>
        <v/>
      </c>
    </row>
    <row r="2520" spans="12:12" x14ac:dyDescent="0.2">
      <c r="L2520" t="str">
        <f t="shared" si="40"/>
        <v/>
      </c>
    </row>
    <row r="2521" spans="12:12" x14ac:dyDescent="0.2">
      <c r="L2521" t="str">
        <f t="shared" si="40"/>
        <v/>
      </c>
    </row>
    <row r="2522" spans="12:12" x14ac:dyDescent="0.2">
      <c r="L2522" t="str">
        <f t="shared" si="40"/>
        <v/>
      </c>
    </row>
    <row r="2523" spans="12:12" x14ac:dyDescent="0.2">
      <c r="L2523" t="str">
        <f t="shared" si="40"/>
        <v/>
      </c>
    </row>
    <row r="2524" spans="12:12" x14ac:dyDescent="0.2">
      <c r="L2524" t="str">
        <f t="shared" si="40"/>
        <v/>
      </c>
    </row>
    <row r="2525" spans="12:12" x14ac:dyDescent="0.2">
      <c r="L2525" t="str">
        <f t="shared" si="40"/>
        <v/>
      </c>
    </row>
    <row r="2526" spans="12:12" x14ac:dyDescent="0.2">
      <c r="L2526" t="str">
        <f t="shared" si="40"/>
        <v/>
      </c>
    </row>
    <row r="2527" spans="12:12" x14ac:dyDescent="0.2">
      <c r="L2527" t="str">
        <f t="shared" si="40"/>
        <v/>
      </c>
    </row>
    <row r="2528" spans="12:12" x14ac:dyDescent="0.2">
      <c r="L2528" t="str">
        <f t="shared" si="40"/>
        <v/>
      </c>
    </row>
    <row r="2529" spans="12:12" x14ac:dyDescent="0.2">
      <c r="L2529" t="str">
        <f t="shared" si="40"/>
        <v/>
      </c>
    </row>
    <row r="2530" spans="12:12" x14ac:dyDescent="0.2">
      <c r="L2530" t="str">
        <f t="shared" si="40"/>
        <v/>
      </c>
    </row>
    <row r="2531" spans="12:12" x14ac:dyDescent="0.2">
      <c r="L2531" t="str">
        <f t="shared" si="40"/>
        <v/>
      </c>
    </row>
    <row r="2532" spans="12:12" x14ac:dyDescent="0.2">
      <c r="L2532" t="str">
        <f t="shared" si="40"/>
        <v/>
      </c>
    </row>
    <row r="2533" spans="12:12" x14ac:dyDescent="0.2">
      <c r="L2533" t="str">
        <f t="shared" si="40"/>
        <v/>
      </c>
    </row>
    <row r="2534" spans="12:12" x14ac:dyDescent="0.2">
      <c r="L2534" t="str">
        <f t="shared" si="40"/>
        <v/>
      </c>
    </row>
    <row r="2535" spans="12:12" x14ac:dyDescent="0.2">
      <c r="L2535" t="str">
        <f t="shared" si="40"/>
        <v/>
      </c>
    </row>
    <row r="2536" spans="12:12" x14ac:dyDescent="0.2">
      <c r="L2536" t="str">
        <f t="shared" si="40"/>
        <v/>
      </c>
    </row>
    <row r="2537" spans="12:12" x14ac:dyDescent="0.2">
      <c r="L2537" t="str">
        <f t="shared" si="40"/>
        <v/>
      </c>
    </row>
    <row r="2538" spans="12:12" x14ac:dyDescent="0.2">
      <c r="L2538" t="str">
        <f t="shared" si="40"/>
        <v/>
      </c>
    </row>
    <row r="2539" spans="12:12" x14ac:dyDescent="0.2">
      <c r="L2539" t="str">
        <f t="shared" si="40"/>
        <v/>
      </c>
    </row>
    <row r="2540" spans="12:12" x14ac:dyDescent="0.2">
      <c r="L2540" t="str">
        <f t="shared" si="40"/>
        <v/>
      </c>
    </row>
    <row r="2541" spans="12:12" x14ac:dyDescent="0.2">
      <c r="L2541" t="str">
        <f t="shared" si="40"/>
        <v/>
      </c>
    </row>
    <row r="2542" spans="12:12" x14ac:dyDescent="0.2">
      <c r="L2542" t="str">
        <f t="shared" si="40"/>
        <v/>
      </c>
    </row>
    <row r="2543" spans="12:12" x14ac:dyDescent="0.2">
      <c r="L2543" t="str">
        <f t="shared" si="40"/>
        <v/>
      </c>
    </row>
    <row r="2544" spans="12:12" x14ac:dyDescent="0.2">
      <c r="L2544" t="str">
        <f t="shared" si="40"/>
        <v/>
      </c>
    </row>
    <row r="2545" spans="12:12" x14ac:dyDescent="0.2">
      <c r="L2545" t="str">
        <f t="shared" si="40"/>
        <v/>
      </c>
    </row>
    <row r="2546" spans="12:12" x14ac:dyDescent="0.2">
      <c r="L2546" t="str">
        <f t="shared" si="40"/>
        <v/>
      </c>
    </row>
    <row r="2547" spans="12:12" x14ac:dyDescent="0.2">
      <c r="L2547" t="str">
        <f t="shared" si="40"/>
        <v/>
      </c>
    </row>
    <row r="2548" spans="12:12" x14ac:dyDescent="0.2">
      <c r="L2548" t="str">
        <f t="shared" si="40"/>
        <v/>
      </c>
    </row>
    <row r="2549" spans="12:12" x14ac:dyDescent="0.2">
      <c r="L2549" t="str">
        <f t="shared" si="40"/>
        <v/>
      </c>
    </row>
    <row r="2550" spans="12:12" x14ac:dyDescent="0.2">
      <c r="L2550" t="str">
        <f t="shared" si="40"/>
        <v/>
      </c>
    </row>
    <row r="2551" spans="12:12" x14ac:dyDescent="0.2">
      <c r="L2551" t="str">
        <f t="shared" si="40"/>
        <v/>
      </c>
    </row>
    <row r="2552" spans="12:12" x14ac:dyDescent="0.2">
      <c r="L2552" t="str">
        <f t="shared" si="40"/>
        <v/>
      </c>
    </row>
    <row r="2553" spans="12:12" x14ac:dyDescent="0.2">
      <c r="L2553" t="str">
        <f t="shared" si="40"/>
        <v/>
      </c>
    </row>
    <row r="2554" spans="12:12" x14ac:dyDescent="0.2">
      <c r="L2554" t="str">
        <f t="shared" si="40"/>
        <v/>
      </c>
    </row>
    <row r="2555" spans="12:12" x14ac:dyDescent="0.2">
      <c r="L2555" t="str">
        <f t="shared" si="40"/>
        <v/>
      </c>
    </row>
    <row r="2556" spans="12:12" x14ac:dyDescent="0.2">
      <c r="L2556" t="str">
        <f t="shared" si="40"/>
        <v/>
      </c>
    </row>
    <row r="2557" spans="12:12" x14ac:dyDescent="0.2">
      <c r="L2557" t="str">
        <f t="shared" si="40"/>
        <v/>
      </c>
    </row>
    <row r="2558" spans="12:12" x14ac:dyDescent="0.2">
      <c r="L2558" t="str">
        <f t="shared" si="40"/>
        <v/>
      </c>
    </row>
    <row r="2559" spans="12:12" x14ac:dyDescent="0.2">
      <c r="L2559" t="str">
        <f t="shared" si="40"/>
        <v/>
      </c>
    </row>
    <row r="2560" spans="12:12" x14ac:dyDescent="0.2">
      <c r="L2560" t="str">
        <f t="shared" si="40"/>
        <v/>
      </c>
    </row>
    <row r="2561" spans="12:12" x14ac:dyDescent="0.2">
      <c r="L2561" t="str">
        <f t="shared" si="40"/>
        <v/>
      </c>
    </row>
    <row r="2562" spans="12:12" x14ac:dyDescent="0.2">
      <c r="L2562" t="str">
        <f t="shared" si="40"/>
        <v/>
      </c>
    </row>
    <row r="2563" spans="12:12" x14ac:dyDescent="0.2">
      <c r="L2563" t="str">
        <f t="shared" si="40"/>
        <v/>
      </c>
    </row>
    <row r="2564" spans="12:12" x14ac:dyDescent="0.2">
      <c r="L2564" t="str">
        <f t="shared" ref="L2564:L2627" si="41">IF(L2563&lt;$I$15,L2563+$I$16,"")</f>
        <v/>
      </c>
    </row>
    <row r="2565" spans="12:12" x14ac:dyDescent="0.2">
      <c r="L2565" t="str">
        <f t="shared" si="41"/>
        <v/>
      </c>
    </row>
    <row r="2566" spans="12:12" x14ac:dyDescent="0.2">
      <c r="L2566" t="str">
        <f t="shared" si="41"/>
        <v/>
      </c>
    </row>
    <row r="2567" spans="12:12" x14ac:dyDescent="0.2">
      <c r="L2567" t="str">
        <f t="shared" si="41"/>
        <v/>
      </c>
    </row>
    <row r="2568" spans="12:12" x14ac:dyDescent="0.2">
      <c r="L2568" t="str">
        <f t="shared" si="41"/>
        <v/>
      </c>
    </row>
    <row r="2569" spans="12:12" x14ac:dyDescent="0.2">
      <c r="L2569" t="str">
        <f t="shared" si="41"/>
        <v/>
      </c>
    </row>
    <row r="2570" spans="12:12" x14ac:dyDescent="0.2">
      <c r="L2570" t="str">
        <f t="shared" si="41"/>
        <v/>
      </c>
    </row>
    <row r="2571" spans="12:12" x14ac:dyDescent="0.2">
      <c r="L2571" t="str">
        <f t="shared" si="41"/>
        <v/>
      </c>
    </row>
    <row r="2572" spans="12:12" x14ac:dyDescent="0.2">
      <c r="L2572" t="str">
        <f t="shared" si="41"/>
        <v/>
      </c>
    </row>
    <row r="2573" spans="12:12" x14ac:dyDescent="0.2">
      <c r="L2573" t="str">
        <f t="shared" si="41"/>
        <v/>
      </c>
    </row>
    <row r="2574" spans="12:12" x14ac:dyDescent="0.2">
      <c r="L2574" t="str">
        <f t="shared" si="41"/>
        <v/>
      </c>
    </row>
    <row r="2575" spans="12:12" x14ac:dyDescent="0.2">
      <c r="L2575" t="str">
        <f t="shared" si="41"/>
        <v/>
      </c>
    </row>
    <row r="2576" spans="12:12" x14ac:dyDescent="0.2">
      <c r="L2576" t="str">
        <f t="shared" si="41"/>
        <v/>
      </c>
    </row>
    <row r="2577" spans="12:12" x14ac:dyDescent="0.2">
      <c r="L2577" t="str">
        <f t="shared" si="41"/>
        <v/>
      </c>
    </row>
    <row r="2578" spans="12:12" x14ac:dyDescent="0.2">
      <c r="L2578" t="str">
        <f t="shared" si="41"/>
        <v/>
      </c>
    </row>
    <row r="2579" spans="12:12" x14ac:dyDescent="0.2">
      <c r="L2579" t="str">
        <f t="shared" si="41"/>
        <v/>
      </c>
    </row>
    <row r="2580" spans="12:12" x14ac:dyDescent="0.2">
      <c r="L2580" t="str">
        <f t="shared" si="41"/>
        <v/>
      </c>
    </row>
    <row r="2581" spans="12:12" x14ac:dyDescent="0.2">
      <c r="L2581" t="str">
        <f t="shared" si="41"/>
        <v/>
      </c>
    </row>
    <row r="2582" spans="12:12" x14ac:dyDescent="0.2">
      <c r="L2582" t="str">
        <f t="shared" si="41"/>
        <v/>
      </c>
    </row>
    <row r="2583" spans="12:12" x14ac:dyDescent="0.2">
      <c r="L2583" t="str">
        <f t="shared" si="41"/>
        <v/>
      </c>
    </row>
    <row r="2584" spans="12:12" x14ac:dyDescent="0.2">
      <c r="L2584" t="str">
        <f t="shared" si="41"/>
        <v/>
      </c>
    </row>
    <row r="2585" spans="12:12" x14ac:dyDescent="0.2">
      <c r="L2585" t="str">
        <f t="shared" si="41"/>
        <v/>
      </c>
    </row>
    <row r="2586" spans="12:12" x14ac:dyDescent="0.2">
      <c r="L2586" t="str">
        <f t="shared" si="41"/>
        <v/>
      </c>
    </row>
    <row r="2587" spans="12:12" x14ac:dyDescent="0.2">
      <c r="L2587" t="str">
        <f t="shared" si="41"/>
        <v/>
      </c>
    </row>
    <row r="2588" spans="12:12" x14ac:dyDescent="0.2">
      <c r="L2588" t="str">
        <f t="shared" si="41"/>
        <v/>
      </c>
    </row>
    <row r="2589" spans="12:12" x14ac:dyDescent="0.2">
      <c r="L2589" t="str">
        <f t="shared" si="41"/>
        <v/>
      </c>
    </row>
    <row r="2590" spans="12:12" x14ac:dyDescent="0.2">
      <c r="L2590" t="str">
        <f t="shared" si="41"/>
        <v/>
      </c>
    </row>
    <row r="2591" spans="12:12" x14ac:dyDescent="0.2">
      <c r="L2591" t="str">
        <f t="shared" si="41"/>
        <v/>
      </c>
    </row>
    <row r="2592" spans="12:12" x14ac:dyDescent="0.2">
      <c r="L2592" t="str">
        <f t="shared" si="41"/>
        <v/>
      </c>
    </row>
    <row r="2593" spans="12:12" x14ac:dyDescent="0.2">
      <c r="L2593" t="str">
        <f t="shared" si="41"/>
        <v/>
      </c>
    </row>
    <row r="2594" spans="12:12" x14ac:dyDescent="0.2">
      <c r="L2594" t="str">
        <f t="shared" si="41"/>
        <v/>
      </c>
    </row>
    <row r="2595" spans="12:12" x14ac:dyDescent="0.2">
      <c r="L2595" t="str">
        <f t="shared" si="41"/>
        <v/>
      </c>
    </row>
    <row r="2596" spans="12:12" x14ac:dyDescent="0.2">
      <c r="L2596" t="str">
        <f t="shared" si="41"/>
        <v/>
      </c>
    </row>
    <row r="2597" spans="12:12" x14ac:dyDescent="0.2">
      <c r="L2597" t="str">
        <f t="shared" si="41"/>
        <v/>
      </c>
    </row>
    <row r="2598" spans="12:12" x14ac:dyDescent="0.2">
      <c r="L2598" t="str">
        <f t="shared" si="41"/>
        <v/>
      </c>
    </row>
    <row r="2599" spans="12:12" x14ac:dyDescent="0.2">
      <c r="L2599" t="str">
        <f t="shared" si="41"/>
        <v/>
      </c>
    </row>
    <row r="2600" spans="12:12" x14ac:dyDescent="0.2">
      <c r="L2600" t="str">
        <f t="shared" si="41"/>
        <v/>
      </c>
    </row>
    <row r="2601" spans="12:12" x14ac:dyDescent="0.2">
      <c r="L2601" t="str">
        <f t="shared" si="41"/>
        <v/>
      </c>
    </row>
    <row r="2602" spans="12:12" x14ac:dyDescent="0.2">
      <c r="L2602" t="str">
        <f t="shared" si="41"/>
        <v/>
      </c>
    </row>
    <row r="2603" spans="12:12" x14ac:dyDescent="0.2">
      <c r="L2603" t="str">
        <f t="shared" si="41"/>
        <v/>
      </c>
    </row>
    <row r="2604" spans="12:12" x14ac:dyDescent="0.2">
      <c r="L2604" t="str">
        <f t="shared" si="41"/>
        <v/>
      </c>
    </row>
    <row r="2605" spans="12:12" x14ac:dyDescent="0.2">
      <c r="L2605" t="str">
        <f t="shared" si="41"/>
        <v/>
      </c>
    </row>
    <row r="2606" spans="12:12" x14ac:dyDescent="0.2">
      <c r="L2606" t="str">
        <f t="shared" si="41"/>
        <v/>
      </c>
    </row>
    <row r="2607" spans="12:12" x14ac:dyDescent="0.2">
      <c r="L2607" t="str">
        <f t="shared" si="41"/>
        <v/>
      </c>
    </row>
    <row r="2608" spans="12:12" x14ac:dyDescent="0.2">
      <c r="L2608" t="str">
        <f t="shared" si="41"/>
        <v/>
      </c>
    </row>
    <row r="2609" spans="12:12" x14ac:dyDescent="0.2">
      <c r="L2609" t="str">
        <f t="shared" si="41"/>
        <v/>
      </c>
    </row>
    <row r="2610" spans="12:12" x14ac:dyDescent="0.2">
      <c r="L2610" t="str">
        <f t="shared" si="41"/>
        <v/>
      </c>
    </row>
    <row r="2611" spans="12:12" x14ac:dyDescent="0.2">
      <c r="L2611" t="str">
        <f t="shared" si="41"/>
        <v/>
      </c>
    </row>
    <row r="2612" spans="12:12" x14ac:dyDescent="0.2">
      <c r="L2612" t="str">
        <f t="shared" si="41"/>
        <v/>
      </c>
    </row>
    <row r="2613" spans="12:12" x14ac:dyDescent="0.2">
      <c r="L2613" t="str">
        <f t="shared" si="41"/>
        <v/>
      </c>
    </row>
    <row r="2614" spans="12:12" x14ac:dyDescent="0.2">
      <c r="L2614" t="str">
        <f t="shared" si="41"/>
        <v/>
      </c>
    </row>
    <row r="2615" spans="12:12" x14ac:dyDescent="0.2">
      <c r="L2615" t="str">
        <f t="shared" si="41"/>
        <v/>
      </c>
    </row>
    <row r="2616" spans="12:12" x14ac:dyDescent="0.2">
      <c r="L2616" t="str">
        <f t="shared" si="41"/>
        <v/>
      </c>
    </row>
    <row r="2617" spans="12:12" x14ac:dyDescent="0.2">
      <c r="L2617" t="str">
        <f t="shared" si="41"/>
        <v/>
      </c>
    </row>
    <row r="2618" spans="12:12" x14ac:dyDescent="0.2">
      <c r="L2618" t="str">
        <f t="shared" si="41"/>
        <v/>
      </c>
    </row>
    <row r="2619" spans="12:12" x14ac:dyDescent="0.2">
      <c r="L2619" t="str">
        <f t="shared" si="41"/>
        <v/>
      </c>
    </row>
    <row r="2620" spans="12:12" x14ac:dyDescent="0.2">
      <c r="L2620" t="str">
        <f t="shared" si="41"/>
        <v/>
      </c>
    </row>
    <row r="2621" spans="12:12" x14ac:dyDescent="0.2">
      <c r="L2621" t="str">
        <f t="shared" si="41"/>
        <v/>
      </c>
    </row>
    <row r="2622" spans="12:12" x14ac:dyDescent="0.2">
      <c r="L2622" t="str">
        <f t="shared" si="41"/>
        <v/>
      </c>
    </row>
    <row r="2623" spans="12:12" x14ac:dyDescent="0.2">
      <c r="L2623" t="str">
        <f t="shared" si="41"/>
        <v/>
      </c>
    </row>
    <row r="2624" spans="12:12" x14ac:dyDescent="0.2">
      <c r="L2624" t="str">
        <f t="shared" si="41"/>
        <v/>
      </c>
    </row>
    <row r="2625" spans="12:12" x14ac:dyDescent="0.2">
      <c r="L2625" t="str">
        <f t="shared" si="41"/>
        <v/>
      </c>
    </row>
    <row r="2626" spans="12:12" x14ac:dyDescent="0.2">
      <c r="L2626" t="str">
        <f t="shared" si="41"/>
        <v/>
      </c>
    </row>
    <row r="2627" spans="12:12" x14ac:dyDescent="0.2">
      <c r="L2627" t="str">
        <f t="shared" si="41"/>
        <v/>
      </c>
    </row>
    <row r="2628" spans="12:12" x14ac:dyDescent="0.2">
      <c r="L2628" t="str">
        <f t="shared" ref="L2628:L2691" si="42">IF(L2627&lt;$I$15,L2627+$I$16,"")</f>
        <v/>
      </c>
    </row>
    <row r="2629" spans="12:12" x14ac:dyDescent="0.2">
      <c r="L2629" t="str">
        <f t="shared" si="42"/>
        <v/>
      </c>
    </row>
    <row r="2630" spans="12:12" x14ac:dyDescent="0.2">
      <c r="L2630" t="str">
        <f t="shared" si="42"/>
        <v/>
      </c>
    </row>
    <row r="2631" spans="12:12" x14ac:dyDescent="0.2">
      <c r="L2631" t="str">
        <f t="shared" si="42"/>
        <v/>
      </c>
    </row>
    <row r="2632" spans="12:12" x14ac:dyDescent="0.2">
      <c r="L2632" t="str">
        <f t="shared" si="42"/>
        <v/>
      </c>
    </row>
    <row r="2633" spans="12:12" x14ac:dyDescent="0.2">
      <c r="L2633" t="str">
        <f t="shared" si="42"/>
        <v/>
      </c>
    </row>
    <row r="2634" spans="12:12" x14ac:dyDescent="0.2">
      <c r="L2634" t="str">
        <f t="shared" si="42"/>
        <v/>
      </c>
    </row>
    <row r="2635" spans="12:12" x14ac:dyDescent="0.2">
      <c r="L2635" t="str">
        <f t="shared" si="42"/>
        <v/>
      </c>
    </row>
    <row r="2636" spans="12:12" x14ac:dyDescent="0.2">
      <c r="L2636" t="str">
        <f t="shared" si="42"/>
        <v/>
      </c>
    </row>
    <row r="2637" spans="12:12" x14ac:dyDescent="0.2">
      <c r="L2637" t="str">
        <f t="shared" si="42"/>
        <v/>
      </c>
    </row>
    <row r="2638" spans="12:12" x14ac:dyDescent="0.2">
      <c r="L2638" t="str">
        <f t="shared" si="42"/>
        <v/>
      </c>
    </row>
    <row r="2639" spans="12:12" x14ac:dyDescent="0.2">
      <c r="L2639" t="str">
        <f t="shared" si="42"/>
        <v/>
      </c>
    </row>
    <row r="2640" spans="12:12" x14ac:dyDescent="0.2">
      <c r="L2640" t="str">
        <f t="shared" si="42"/>
        <v/>
      </c>
    </row>
    <row r="2641" spans="12:12" x14ac:dyDescent="0.2">
      <c r="L2641" t="str">
        <f t="shared" si="42"/>
        <v/>
      </c>
    </row>
    <row r="2642" spans="12:12" x14ac:dyDescent="0.2">
      <c r="L2642" t="str">
        <f t="shared" si="42"/>
        <v/>
      </c>
    </row>
    <row r="2643" spans="12:12" x14ac:dyDescent="0.2">
      <c r="L2643" t="str">
        <f t="shared" si="42"/>
        <v/>
      </c>
    </row>
    <row r="2644" spans="12:12" x14ac:dyDescent="0.2">
      <c r="L2644" t="str">
        <f t="shared" si="42"/>
        <v/>
      </c>
    </row>
    <row r="2645" spans="12:12" x14ac:dyDescent="0.2">
      <c r="L2645" t="str">
        <f t="shared" si="42"/>
        <v/>
      </c>
    </row>
    <row r="2646" spans="12:12" x14ac:dyDescent="0.2">
      <c r="L2646" t="str">
        <f t="shared" si="42"/>
        <v/>
      </c>
    </row>
    <row r="2647" spans="12:12" x14ac:dyDescent="0.2">
      <c r="L2647" t="str">
        <f t="shared" si="42"/>
        <v/>
      </c>
    </row>
    <row r="2648" spans="12:12" x14ac:dyDescent="0.2">
      <c r="L2648" t="str">
        <f t="shared" si="42"/>
        <v/>
      </c>
    </row>
    <row r="2649" spans="12:12" x14ac:dyDescent="0.2">
      <c r="L2649" t="str">
        <f t="shared" si="42"/>
        <v/>
      </c>
    </row>
    <row r="2650" spans="12:12" x14ac:dyDescent="0.2">
      <c r="L2650" t="str">
        <f t="shared" si="42"/>
        <v/>
      </c>
    </row>
    <row r="2651" spans="12:12" x14ac:dyDescent="0.2">
      <c r="L2651" t="str">
        <f t="shared" si="42"/>
        <v/>
      </c>
    </row>
    <row r="2652" spans="12:12" x14ac:dyDescent="0.2">
      <c r="L2652" t="str">
        <f t="shared" si="42"/>
        <v/>
      </c>
    </row>
    <row r="2653" spans="12:12" x14ac:dyDescent="0.2">
      <c r="L2653" t="str">
        <f t="shared" si="42"/>
        <v/>
      </c>
    </row>
    <row r="2654" spans="12:12" x14ac:dyDescent="0.2">
      <c r="L2654" t="str">
        <f t="shared" si="42"/>
        <v/>
      </c>
    </row>
    <row r="2655" spans="12:12" x14ac:dyDescent="0.2">
      <c r="L2655" t="str">
        <f t="shared" si="42"/>
        <v/>
      </c>
    </row>
    <row r="2656" spans="12:12" x14ac:dyDescent="0.2">
      <c r="L2656" t="str">
        <f t="shared" si="42"/>
        <v/>
      </c>
    </row>
    <row r="2657" spans="12:12" x14ac:dyDescent="0.2">
      <c r="L2657" t="str">
        <f t="shared" si="42"/>
        <v/>
      </c>
    </row>
    <row r="2658" spans="12:12" x14ac:dyDescent="0.2">
      <c r="L2658" t="str">
        <f t="shared" si="42"/>
        <v/>
      </c>
    </row>
    <row r="2659" spans="12:12" x14ac:dyDescent="0.2">
      <c r="L2659" t="str">
        <f t="shared" si="42"/>
        <v/>
      </c>
    </row>
    <row r="2660" spans="12:12" x14ac:dyDescent="0.2">
      <c r="L2660" t="str">
        <f t="shared" si="42"/>
        <v/>
      </c>
    </row>
    <row r="2661" spans="12:12" x14ac:dyDescent="0.2">
      <c r="L2661" t="str">
        <f t="shared" si="42"/>
        <v/>
      </c>
    </row>
    <row r="2662" spans="12:12" x14ac:dyDescent="0.2">
      <c r="L2662" t="str">
        <f t="shared" si="42"/>
        <v/>
      </c>
    </row>
    <row r="2663" spans="12:12" x14ac:dyDescent="0.2">
      <c r="L2663" t="str">
        <f t="shared" si="42"/>
        <v/>
      </c>
    </row>
    <row r="2664" spans="12:12" x14ac:dyDescent="0.2">
      <c r="L2664" t="str">
        <f t="shared" si="42"/>
        <v/>
      </c>
    </row>
    <row r="2665" spans="12:12" x14ac:dyDescent="0.2">
      <c r="L2665" t="str">
        <f t="shared" si="42"/>
        <v/>
      </c>
    </row>
    <row r="2666" spans="12:12" x14ac:dyDescent="0.2">
      <c r="L2666" t="str">
        <f t="shared" si="42"/>
        <v/>
      </c>
    </row>
    <row r="2667" spans="12:12" x14ac:dyDescent="0.2">
      <c r="L2667" t="str">
        <f t="shared" si="42"/>
        <v/>
      </c>
    </row>
    <row r="2668" spans="12:12" x14ac:dyDescent="0.2">
      <c r="L2668" t="str">
        <f t="shared" si="42"/>
        <v/>
      </c>
    </row>
    <row r="2669" spans="12:12" x14ac:dyDescent="0.2">
      <c r="L2669" t="str">
        <f t="shared" si="42"/>
        <v/>
      </c>
    </row>
    <row r="2670" spans="12:12" x14ac:dyDescent="0.2">
      <c r="L2670" t="str">
        <f t="shared" si="42"/>
        <v/>
      </c>
    </row>
    <row r="2671" spans="12:12" x14ac:dyDescent="0.2">
      <c r="L2671" t="str">
        <f t="shared" si="42"/>
        <v/>
      </c>
    </row>
    <row r="2672" spans="12:12" x14ac:dyDescent="0.2">
      <c r="L2672" t="str">
        <f t="shared" si="42"/>
        <v/>
      </c>
    </row>
    <row r="2673" spans="12:12" x14ac:dyDescent="0.2">
      <c r="L2673" t="str">
        <f t="shared" si="42"/>
        <v/>
      </c>
    </row>
    <row r="2674" spans="12:12" x14ac:dyDescent="0.2">
      <c r="L2674" t="str">
        <f t="shared" si="42"/>
        <v/>
      </c>
    </row>
    <row r="2675" spans="12:12" x14ac:dyDescent="0.2">
      <c r="L2675" t="str">
        <f t="shared" si="42"/>
        <v/>
      </c>
    </row>
    <row r="2676" spans="12:12" x14ac:dyDescent="0.2">
      <c r="L2676" t="str">
        <f t="shared" si="42"/>
        <v/>
      </c>
    </row>
    <row r="2677" spans="12:12" x14ac:dyDescent="0.2">
      <c r="L2677" t="str">
        <f t="shared" si="42"/>
        <v/>
      </c>
    </row>
    <row r="2678" spans="12:12" x14ac:dyDescent="0.2">
      <c r="L2678" t="str">
        <f t="shared" si="42"/>
        <v/>
      </c>
    </row>
    <row r="2679" spans="12:12" x14ac:dyDescent="0.2">
      <c r="L2679" t="str">
        <f t="shared" si="42"/>
        <v/>
      </c>
    </row>
    <row r="2680" spans="12:12" x14ac:dyDescent="0.2">
      <c r="L2680" t="str">
        <f t="shared" si="42"/>
        <v/>
      </c>
    </row>
    <row r="2681" spans="12:12" x14ac:dyDescent="0.2">
      <c r="L2681" t="str">
        <f t="shared" si="42"/>
        <v/>
      </c>
    </row>
    <row r="2682" spans="12:12" x14ac:dyDescent="0.2">
      <c r="L2682" t="str">
        <f t="shared" si="42"/>
        <v/>
      </c>
    </row>
    <row r="2683" spans="12:12" x14ac:dyDescent="0.2">
      <c r="L2683" t="str">
        <f t="shared" si="42"/>
        <v/>
      </c>
    </row>
    <row r="2684" spans="12:12" x14ac:dyDescent="0.2">
      <c r="L2684" t="str">
        <f t="shared" si="42"/>
        <v/>
      </c>
    </row>
    <row r="2685" spans="12:12" x14ac:dyDescent="0.2">
      <c r="L2685" t="str">
        <f t="shared" si="42"/>
        <v/>
      </c>
    </row>
    <row r="2686" spans="12:12" x14ac:dyDescent="0.2">
      <c r="L2686" t="str">
        <f t="shared" si="42"/>
        <v/>
      </c>
    </row>
    <row r="2687" spans="12:12" x14ac:dyDescent="0.2">
      <c r="L2687" t="str">
        <f t="shared" si="42"/>
        <v/>
      </c>
    </row>
    <row r="2688" spans="12:12" x14ac:dyDescent="0.2">
      <c r="L2688" t="str">
        <f t="shared" si="42"/>
        <v/>
      </c>
    </row>
    <row r="2689" spans="12:12" x14ac:dyDescent="0.2">
      <c r="L2689" t="str">
        <f t="shared" si="42"/>
        <v/>
      </c>
    </row>
    <row r="2690" spans="12:12" x14ac:dyDescent="0.2">
      <c r="L2690" t="str">
        <f t="shared" si="42"/>
        <v/>
      </c>
    </row>
    <row r="2691" spans="12:12" x14ac:dyDescent="0.2">
      <c r="L2691" t="str">
        <f t="shared" si="42"/>
        <v/>
      </c>
    </row>
    <row r="2692" spans="12:12" x14ac:dyDescent="0.2">
      <c r="L2692" t="str">
        <f t="shared" ref="L2692:L2755" si="43">IF(L2691&lt;$I$15,L2691+$I$16,"")</f>
        <v/>
      </c>
    </row>
    <row r="2693" spans="12:12" x14ac:dyDescent="0.2">
      <c r="L2693" t="str">
        <f t="shared" si="43"/>
        <v/>
      </c>
    </row>
    <row r="2694" spans="12:12" x14ac:dyDescent="0.2">
      <c r="L2694" t="str">
        <f t="shared" si="43"/>
        <v/>
      </c>
    </row>
    <row r="2695" spans="12:12" x14ac:dyDescent="0.2">
      <c r="L2695" t="str">
        <f t="shared" si="43"/>
        <v/>
      </c>
    </row>
    <row r="2696" spans="12:12" x14ac:dyDescent="0.2">
      <c r="L2696" t="str">
        <f t="shared" si="43"/>
        <v/>
      </c>
    </row>
    <row r="2697" spans="12:12" x14ac:dyDescent="0.2">
      <c r="L2697" t="str">
        <f t="shared" si="43"/>
        <v/>
      </c>
    </row>
    <row r="2698" spans="12:12" x14ac:dyDescent="0.2">
      <c r="L2698" t="str">
        <f t="shared" si="43"/>
        <v/>
      </c>
    </row>
    <row r="2699" spans="12:12" x14ac:dyDescent="0.2">
      <c r="L2699" t="str">
        <f t="shared" si="43"/>
        <v/>
      </c>
    </row>
    <row r="2700" spans="12:12" x14ac:dyDescent="0.2">
      <c r="L2700" t="str">
        <f t="shared" si="43"/>
        <v/>
      </c>
    </row>
    <row r="2701" spans="12:12" x14ac:dyDescent="0.2">
      <c r="L2701" t="str">
        <f t="shared" si="43"/>
        <v/>
      </c>
    </row>
    <row r="2702" spans="12:12" x14ac:dyDescent="0.2">
      <c r="L2702" t="str">
        <f t="shared" si="43"/>
        <v/>
      </c>
    </row>
    <row r="2703" spans="12:12" x14ac:dyDescent="0.2">
      <c r="L2703" t="str">
        <f t="shared" si="43"/>
        <v/>
      </c>
    </row>
    <row r="2704" spans="12:12" x14ac:dyDescent="0.2">
      <c r="L2704" t="str">
        <f t="shared" si="43"/>
        <v/>
      </c>
    </row>
    <row r="2705" spans="12:12" x14ac:dyDescent="0.2">
      <c r="L2705" t="str">
        <f t="shared" si="43"/>
        <v/>
      </c>
    </row>
    <row r="2706" spans="12:12" x14ac:dyDescent="0.2">
      <c r="L2706" t="str">
        <f t="shared" si="43"/>
        <v/>
      </c>
    </row>
    <row r="2707" spans="12:12" x14ac:dyDescent="0.2">
      <c r="L2707" t="str">
        <f t="shared" si="43"/>
        <v/>
      </c>
    </row>
    <row r="2708" spans="12:12" x14ac:dyDescent="0.2">
      <c r="L2708" t="str">
        <f t="shared" si="43"/>
        <v/>
      </c>
    </row>
    <row r="2709" spans="12:12" x14ac:dyDescent="0.2">
      <c r="L2709" t="str">
        <f t="shared" si="43"/>
        <v/>
      </c>
    </row>
    <row r="2710" spans="12:12" x14ac:dyDescent="0.2">
      <c r="L2710" t="str">
        <f t="shared" si="43"/>
        <v/>
      </c>
    </row>
    <row r="2711" spans="12:12" x14ac:dyDescent="0.2">
      <c r="L2711" t="str">
        <f t="shared" si="43"/>
        <v/>
      </c>
    </row>
    <row r="2712" spans="12:12" x14ac:dyDescent="0.2">
      <c r="L2712" t="str">
        <f t="shared" si="43"/>
        <v/>
      </c>
    </row>
    <row r="2713" spans="12:12" x14ac:dyDescent="0.2">
      <c r="L2713" t="str">
        <f t="shared" si="43"/>
        <v/>
      </c>
    </row>
    <row r="2714" spans="12:12" x14ac:dyDescent="0.2">
      <c r="L2714" t="str">
        <f t="shared" si="43"/>
        <v/>
      </c>
    </row>
    <row r="2715" spans="12:12" x14ac:dyDescent="0.2">
      <c r="L2715" t="str">
        <f t="shared" si="43"/>
        <v/>
      </c>
    </row>
    <row r="2716" spans="12:12" x14ac:dyDescent="0.2">
      <c r="L2716" t="str">
        <f t="shared" si="43"/>
        <v/>
      </c>
    </row>
    <row r="2717" spans="12:12" x14ac:dyDescent="0.2">
      <c r="L2717" t="str">
        <f t="shared" si="43"/>
        <v/>
      </c>
    </row>
    <row r="2718" spans="12:12" x14ac:dyDescent="0.2">
      <c r="L2718" t="str">
        <f t="shared" si="43"/>
        <v/>
      </c>
    </row>
    <row r="2719" spans="12:12" x14ac:dyDescent="0.2">
      <c r="L2719" t="str">
        <f t="shared" si="43"/>
        <v/>
      </c>
    </row>
    <row r="2720" spans="12:12" x14ac:dyDescent="0.2">
      <c r="L2720" t="str">
        <f t="shared" si="43"/>
        <v/>
      </c>
    </row>
    <row r="2721" spans="12:12" x14ac:dyDescent="0.2">
      <c r="L2721" t="str">
        <f t="shared" si="43"/>
        <v/>
      </c>
    </row>
    <row r="2722" spans="12:12" x14ac:dyDescent="0.2">
      <c r="L2722" t="str">
        <f t="shared" si="43"/>
        <v/>
      </c>
    </row>
    <row r="2723" spans="12:12" x14ac:dyDescent="0.2">
      <c r="L2723" t="str">
        <f t="shared" si="43"/>
        <v/>
      </c>
    </row>
    <row r="2724" spans="12:12" x14ac:dyDescent="0.2">
      <c r="L2724" t="str">
        <f t="shared" si="43"/>
        <v/>
      </c>
    </row>
    <row r="2725" spans="12:12" x14ac:dyDescent="0.2">
      <c r="L2725" t="str">
        <f t="shared" si="43"/>
        <v/>
      </c>
    </row>
    <row r="2726" spans="12:12" x14ac:dyDescent="0.2">
      <c r="L2726" t="str">
        <f t="shared" si="43"/>
        <v/>
      </c>
    </row>
    <row r="2727" spans="12:12" x14ac:dyDescent="0.2">
      <c r="L2727" t="str">
        <f t="shared" si="43"/>
        <v/>
      </c>
    </row>
    <row r="2728" spans="12:12" x14ac:dyDescent="0.2">
      <c r="L2728" t="str">
        <f t="shared" si="43"/>
        <v/>
      </c>
    </row>
    <row r="2729" spans="12:12" x14ac:dyDescent="0.2">
      <c r="L2729" t="str">
        <f t="shared" si="43"/>
        <v/>
      </c>
    </row>
    <row r="2730" spans="12:12" x14ac:dyDescent="0.2">
      <c r="L2730" t="str">
        <f t="shared" si="43"/>
        <v/>
      </c>
    </row>
    <row r="2731" spans="12:12" x14ac:dyDescent="0.2">
      <c r="L2731" t="str">
        <f t="shared" si="43"/>
        <v/>
      </c>
    </row>
    <row r="2732" spans="12:12" x14ac:dyDescent="0.2">
      <c r="L2732" t="str">
        <f t="shared" si="43"/>
        <v/>
      </c>
    </row>
    <row r="2733" spans="12:12" x14ac:dyDescent="0.2">
      <c r="L2733" t="str">
        <f t="shared" si="43"/>
        <v/>
      </c>
    </row>
    <row r="2734" spans="12:12" x14ac:dyDescent="0.2">
      <c r="L2734" t="str">
        <f t="shared" si="43"/>
        <v/>
      </c>
    </row>
    <row r="2735" spans="12:12" x14ac:dyDescent="0.2">
      <c r="L2735" t="str">
        <f t="shared" si="43"/>
        <v/>
      </c>
    </row>
    <row r="2736" spans="12:12" x14ac:dyDescent="0.2">
      <c r="L2736" t="str">
        <f t="shared" si="43"/>
        <v/>
      </c>
    </row>
    <row r="2737" spans="12:12" x14ac:dyDescent="0.2">
      <c r="L2737" t="str">
        <f t="shared" si="43"/>
        <v/>
      </c>
    </row>
    <row r="2738" spans="12:12" x14ac:dyDescent="0.2">
      <c r="L2738" t="str">
        <f t="shared" si="43"/>
        <v/>
      </c>
    </row>
    <row r="2739" spans="12:12" x14ac:dyDescent="0.2">
      <c r="L2739" t="str">
        <f t="shared" si="43"/>
        <v/>
      </c>
    </row>
    <row r="2740" spans="12:12" x14ac:dyDescent="0.2">
      <c r="L2740" t="str">
        <f t="shared" si="43"/>
        <v/>
      </c>
    </row>
    <row r="2741" spans="12:12" x14ac:dyDescent="0.2">
      <c r="L2741" t="str">
        <f t="shared" si="43"/>
        <v/>
      </c>
    </row>
    <row r="2742" spans="12:12" x14ac:dyDescent="0.2">
      <c r="L2742" t="str">
        <f t="shared" si="43"/>
        <v/>
      </c>
    </row>
    <row r="2743" spans="12:12" x14ac:dyDescent="0.2">
      <c r="L2743" t="str">
        <f t="shared" si="43"/>
        <v/>
      </c>
    </row>
    <row r="2744" spans="12:12" x14ac:dyDescent="0.2">
      <c r="L2744" t="str">
        <f t="shared" si="43"/>
        <v/>
      </c>
    </row>
    <row r="2745" spans="12:12" x14ac:dyDescent="0.2">
      <c r="L2745" t="str">
        <f t="shared" si="43"/>
        <v/>
      </c>
    </row>
    <row r="2746" spans="12:12" x14ac:dyDescent="0.2">
      <c r="L2746" t="str">
        <f t="shared" si="43"/>
        <v/>
      </c>
    </row>
    <row r="2747" spans="12:12" x14ac:dyDescent="0.2">
      <c r="L2747" t="str">
        <f t="shared" si="43"/>
        <v/>
      </c>
    </row>
    <row r="2748" spans="12:12" x14ac:dyDescent="0.2">
      <c r="L2748" t="str">
        <f t="shared" si="43"/>
        <v/>
      </c>
    </row>
    <row r="2749" spans="12:12" x14ac:dyDescent="0.2">
      <c r="L2749" t="str">
        <f t="shared" si="43"/>
        <v/>
      </c>
    </row>
    <row r="2750" spans="12:12" x14ac:dyDescent="0.2">
      <c r="L2750" t="str">
        <f t="shared" si="43"/>
        <v/>
      </c>
    </row>
    <row r="2751" spans="12:12" x14ac:dyDescent="0.2">
      <c r="L2751" t="str">
        <f t="shared" si="43"/>
        <v/>
      </c>
    </row>
    <row r="2752" spans="12:12" x14ac:dyDescent="0.2">
      <c r="L2752" t="str">
        <f t="shared" si="43"/>
        <v/>
      </c>
    </row>
    <row r="2753" spans="12:12" x14ac:dyDescent="0.2">
      <c r="L2753" t="str">
        <f t="shared" si="43"/>
        <v/>
      </c>
    </row>
    <row r="2754" spans="12:12" x14ac:dyDescent="0.2">
      <c r="L2754" t="str">
        <f t="shared" si="43"/>
        <v/>
      </c>
    </row>
    <row r="2755" spans="12:12" x14ac:dyDescent="0.2">
      <c r="L2755" t="str">
        <f t="shared" si="43"/>
        <v/>
      </c>
    </row>
    <row r="2756" spans="12:12" x14ac:dyDescent="0.2">
      <c r="L2756" t="str">
        <f t="shared" ref="L2756:L2819" si="44">IF(L2755&lt;$I$15,L2755+$I$16,"")</f>
        <v/>
      </c>
    </row>
    <row r="2757" spans="12:12" x14ac:dyDescent="0.2">
      <c r="L2757" t="str">
        <f t="shared" si="44"/>
        <v/>
      </c>
    </row>
    <row r="2758" spans="12:12" x14ac:dyDescent="0.2">
      <c r="L2758" t="str">
        <f t="shared" si="44"/>
        <v/>
      </c>
    </row>
    <row r="2759" spans="12:12" x14ac:dyDescent="0.2">
      <c r="L2759" t="str">
        <f t="shared" si="44"/>
        <v/>
      </c>
    </row>
    <row r="2760" spans="12:12" x14ac:dyDescent="0.2">
      <c r="L2760" t="str">
        <f t="shared" si="44"/>
        <v/>
      </c>
    </row>
    <row r="2761" spans="12:12" x14ac:dyDescent="0.2">
      <c r="L2761" t="str">
        <f t="shared" si="44"/>
        <v/>
      </c>
    </row>
    <row r="2762" spans="12:12" x14ac:dyDescent="0.2">
      <c r="L2762" t="str">
        <f t="shared" si="44"/>
        <v/>
      </c>
    </row>
    <row r="2763" spans="12:12" x14ac:dyDescent="0.2">
      <c r="L2763" t="str">
        <f t="shared" si="44"/>
        <v/>
      </c>
    </row>
    <row r="2764" spans="12:12" x14ac:dyDescent="0.2">
      <c r="L2764" t="str">
        <f t="shared" si="44"/>
        <v/>
      </c>
    </row>
    <row r="2765" spans="12:12" x14ac:dyDescent="0.2">
      <c r="L2765" t="str">
        <f t="shared" si="44"/>
        <v/>
      </c>
    </row>
    <row r="2766" spans="12:12" x14ac:dyDescent="0.2">
      <c r="L2766" t="str">
        <f t="shared" si="44"/>
        <v/>
      </c>
    </row>
    <row r="2767" spans="12:12" x14ac:dyDescent="0.2">
      <c r="L2767" t="str">
        <f t="shared" si="44"/>
        <v/>
      </c>
    </row>
    <row r="2768" spans="12:12" x14ac:dyDescent="0.2">
      <c r="L2768" t="str">
        <f t="shared" si="44"/>
        <v/>
      </c>
    </row>
    <row r="2769" spans="12:12" x14ac:dyDescent="0.2">
      <c r="L2769" t="str">
        <f t="shared" si="44"/>
        <v/>
      </c>
    </row>
    <row r="2770" spans="12:12" x14ac:dyDescent="0.2">
      <c r="L2770" t="str">
        <f t="shared" si="44"/>
        <v/>
      </c>
    </row>
    <row r="2771" spans="12:12" x14ac:dyDescent="0.2">
      <c r="L2771" t="str">
        <f t="shared" si="44"/>
        <v/>
      </c>
    </row>
    <row r="2772" spans="12:12" x14ac:dyDescent="0.2">
      <c r="L2772" t="str">
        <f t="shared" si="44"/>
        <v/>
      </c>
    </row>
    <row r="2773" spans="12:12" x14ac:dyDescent="0.2">
      <c r="L2773" t="str">
        <f t="shared" si="44"/>
        <v/>
      </c>
    </row>
    <row r="2774" spans="12:12" x14ac:dyDescent="0.2">
      <c r="L2774" t="str">
        <f t="shared" si="44"/>
        <v/>
      </c>
    </row>
    <row r="2775" spans="12:12" x14ac:dyDescent="0.2">
      <c r="L2775" t="str">
        <f t="shared" si="44"/>
        <v/>
      </c>
    </row>
    <row r="2776" spans="12:12" x14ac:dyDescent="0.2">
      <c r="L2776" t="str">
        <f t="shared" si="44"/>
        <v/>
      </c>
    </row>
    <row r="2777" spans="12:12" x14ac:dyDescent="0.2">
      <c r="L2777" t="str">
        <f t="shared" si="44"/>
        <v/>
      </c>
    </row>
    <row r="2778" spans="12:12" x14ac:dyDescent="0.2">
      <c r="L2778" t="str">
        <f t="shared" si="44"/>
        <v/>
      </c>
    </row>
    <row r="2779" spans="12:12" x14ac:dyDescent="0.2">
      <c r="L2779" t="str">
        <f t="shared" si="44"/>
        <v/>
      </c>
    </row>
    <row r="2780" spans="12:12" x14ac:dyDescent="0.2">
      <c r="L2780" t="str">
        <f t="shared" si="44"/>
        <v/>
      </c>
    </row>
    <row r="2781" spans="12:12" x14ac:dyDescent="0.2">
      <c r="L2781" t="str">
        <f t="shared" si="44"/>
        <v/>
      </c>
    </row>
    <row r="2782" spans="12:12" x14ac:dyDescent="0.2">
      <c r="L2782" t="str">
        <f t="shared" si="44"/>
        <v/>
      </c>
    </row>
    <row r="2783" spans="12:12" x14ac:dyDescent="0.2">
      <c r="L2783" t="str">
        <f t="shared" si="44"/>
        <v/>
      </c>
    </row>
    <row r="2784" spans="12:12" x14ac:dyDescent="0.2">
      <c r="L2784" t="str">
        <f t="shared" si="44"/>
        <v/>
      </c>
    </row>
    <row r="2785" spans="12:12" x14ac:dyDescent="0.2">
      <c r="L2785" t="str">
        <f t="shared" si="44"/>
        <v/>
      </c>
    </row>
    <row r="2786" spans="12:12" x14ac:dyDescent="0.2">
      <c r="L2786" t="str">
        <f t="shared" si="44"/>
        <v/>
      </c>
    </row>
    <row r="2787" spans="12:12" x14ac:dyDescent="0.2">
      <c r="L2787" t="str">
        <f t="shared" si="44"/>
        <v/>
      </c>
    </row>
    <row r="2788" spans="12:12" x14ac:dyDescent="0.2">
      <c r="L2788" t="str">
        <f t="shared" si="44"/>
        <v/>
      </c>
    </row>
    <row r="2789" spans="12:12" x14ac:dyDescent="0.2">
      <c r="L2789" t="str">
        <f t="shared" si="44"/>
        <v/>
      </c>
    </row>
    <row r="2790" spans="12:12" x14ac:dyDescent="0.2">
      <c r="L2790" t="str">
        <f t="shared" si="44"/>
        <v/>
      </c>
    </row>
    <row r="2791" spans="12:12" x14ac:dyDescent="0.2">
      <c r="L2791" t="str">
        <f t="shared" si="44"/>
        <v/>
      </c>
    </row>
    <row r="2792" spans="12:12" x14ac:dyDescent="0.2">
      <c r="L2792" t="str">
        <f t="shared" si="44"/>
        <v/>
      </c>
    </row>
    <row r="2793" spans="12:12" x14ac:dyDescent="0.2">
      <c r="L2793" t="str">
        <f t="shared" si="44"/>
        <v/>
      </c>
    </row>
    <row r="2794" spans="12:12" x14ac:dyDescent="0.2">
      <c r="L2794" t="str">
        <f t="shared" si="44"/>
        <v/>
      </c>
    </row>
    <row r="2795" spans="12:12" x14ac:dyDescent="0.2">
      <c r="L2795" t="str">
        <f t="shared" si="44"/>
        <v/>
      </c>
    </row>
    <row r="2796" spans="12:12" x14ac:dyDescent="0.2">
      <c r="L2796" t="str">
        <f t="shared" si="44"/>
        <v/>
      </c>
    </row>
    <row r="2797" spans="12:12" x14ac:dyDescent="0.2">
      <c r="L2797" t="str">
        <f t="shared" si="44"/>
        <v/>
      </c>
    </row>
    <row r="2798" spans="12:12" x14ac:dyDescent="0.2">
      <c r="L2798" t="str">
        <f t="shared" si="44"/>
        <v/>
      </c>
    </row>
    <row r="2799" spans="12:12" x14ac:dyDescent="0.2">
      <c r="L2799" t="str">
        <f t="shared" si="44"/>
        <v/>
      </c>
    </row>
    <row r="2800" spans="12:12" x14ac:dyDescent="0.2">
      <c r="L2800" t="str">
        <f t="shared" si="44"/>
        <v/>
      </c>
    </row>
    <row r="2801" spans="12:12" x14ac:dyDescent="0.2">
      <c r="L2801" t="str">
        <f t="shared" si="44"/>
        <v/>
      </c>
    </row>
    <row r="2802" spans="12:12" x14ac:dyDescent="0.2">
      <c r="L2802" t="str">
        <f t="shared" si="44"/>
        <v/>
      </c>
    </row>
    <row r="2803" spans="12:12" x14ac:dyDescent="0.2">
      <c r="L2803" t="str">
        <f t="shared" si="44"/>
        <v/>
      </c>
    </row>
    <row r="2804" spans="12:12" x14ac:dyDescent="0.2">
      <c r="L2804" t="str">
        <f t="shared" si="44"/>
        <v/>
      </c>
    </row>
    <row r="2805" spans="12:12" x14ac:dyDescent="0.2">
      <c r="L2805" t="str">
        <f t="shared" si="44"/>
        <v/>
      </c>
    </row>
    <row r="2806" spans="12:12" x14ac:dyDescent="0.2">
      <c r="L2806" t="str">
        <f t="shared" si="44"/>
        <v/>
      </c>
    </row>
    <row r="2807" spans="12:12" x14ac:dyDescent="0.2">
      <c r="L2807" t="str">
        <f t="shared" si="44"/>
        <v/>
      </c>
    </row>
    <row r="2808" spans="12:12" x14ac:dyDescent="0.2">
      <c r="L2808" t="str">
        <f t="shared" si="44"/>
        <v/>
      </c>
    </row>
    <row r="2809" spans="12:12" x14ac:dyDescent="0.2">
      <c r="L2809" t="str">
        <f t="shared" si="44"/>
        <v/>
      </c>
    </row>
    <row r="2810" spans="12:12" x14ac:dyDescent="0.2">
      <c r="L2810" t="str">
        <f t="shared" si="44"/>
        <v/>
      </c>
    </row>
    <row r="2811" spans="12:12" x14ac:dyDescent="0.2">
      <c r="L2811" t="str">
        <f t="shared" si="44"/>
        <v/>
      </c>
    </row>
    <row r="2812" spans="12:12" x14ac:dyDescent="0.2">
      <c r="L2812" t="str">
        <f t="shared" si="44"/>
        <v/>
      </c>
    </row>
    <row r="2813" spans="12:12" x14ac:dyDescent="0.2">
      <c r="L2813" t="str">
        <f t="shared" si="44"/>
        <v/>
      </c>
    </row>
    <row r="2814" spans="12:12" x14ac:dyDescent="0.2">
      <c r="L2814" t="str">
        <f t="shared" si="44"/>
        <v/>
      </c>
    </row>
    <row r="2815" spans="12:12" x14ac:dyDescent="0.2">
      <c r="L2815" t="str">
        <f t="shared" si="44"/>
        <v/>
      </c>
    </row>
    <row r="2816" spans="12:12" x14ac:dyDescent="0.2">
      <c r="L2816" t="str">
        <f t="shared" si="44"/>
        <v/>
      </c>
    </row>
    <row r="2817" spans="12:12" x14ac:dyDescent="0.2">
      <c r="L2817" t="str">
        <f t="shared" si="44"/>
        <v/>
      </c>
    </row>
    <row r="2818" spans="12:12" x14ac:dyDescent="0.2">
      <c r="L2818" t="str">
        <f t="shared" si="44"/>
        <v/>
      </c>
    </row>
    <row r="2819" spans="12:12" x14ac:dyDescent="0.2">
      <c r="L2819" t="str">
        <f t="shared" si="44"/>
        <v/>
      </c>
    </row>
    <row r="2820" spans="12:12" x14ac:dyDescent="0.2">
      <c r="L2820" t="str">
        <f t="shared" ref="L2820:L2883" si="45">IF(L2819&lt;$I$15,L2819+$I$16,"")</f>
        <v/>
      </c>
    </row>
    <row r="2821" spans="12:12" x14ac:dyDescent="0.2">
      <c r="L2821" t="str">
        <f t="shared" si="45"/>
        <v/>
      </c>
    </row>
    <row r="2822" spans="12:12" x14ac:dyDescent="0.2">
      <c r="L2822" t="str">
        <f t="shared" si="45"/>
        <v/>
      </c>
    </row>
    <row r="2823" spans="12:12" x14ac:dyDescent="0.2">
      <c r="L2823" t="str">
        <f t="shared" si="45"/>
        <v/>
      </c>
    </row>
    <row r="2824" spans="12:12" x14ac:dyDescent="0.2">
      <c r="L2824" t="str">
        <f t="shared" si="45"/>
        <v/>
      </c>
    </row>
    <row r="2825" spans="12:12" x14ac:dyDescent="0.2">
      <c r="L2825" t="str">
        <f t="shared" si="45"/>
        <v/>
      </c>
    </row>
    <row r="2826" spans="12:12" x14ac:dyDescent="0.2">
      <c r="L2826" t="str">
        <f t="shared" si="45"/>
        <v/>
      </c>
    </row>
    <row r="2827" spans="12:12" x14ac:dyDescent="0.2">
      <c r="L2827" t="str">
        <f t="shared" si="45"/>
        <v/>
      </c>
    </row>
    <row r="2828" spans="12:12" x14ac:dyDescent="0.2">
      <c r="L2828" t="str">
        <f t="shared" si="45"/>
        <v/>
      </c>
    </row>
    <row r="2829" spans="12:12" x14ac:dyDescent="0.2">
      <c r="L2829" t="str">
        <f t="shared" si="45"/>
        <v/>
      </c>
    </row>
    <row r="2830" spans="12:12" x14ac:dyDescent="0.2">
      <c r="L2830" t="str">
        <f t="shared" si="45"/>
        <v/>
      </c>
    </row>
    <row r="2831" spans="12:12" x14ac:dyDescent="0.2">
      <c r="L2831" t="str">
        <f t="shared" si="45"/>
        <v/>
      </c>
    </row>
    <row r="2832" spans="12:12" x14ac:dyDescent="0.2">
      <c r="L2832" t="str">
        <f t="shared" si="45"/>
        <v/>
      </c>
    </row>
    <row r="2833" spans="12:12" x14ac:dyDescent="0.2">
      <c r="L2833" t="str">
        <f t="shared" si="45"/>
        <v/>
      </c>
    </row>
    <row r="2834" spans="12:12" x14ac:dyDescent="0.2">
      <c r="L2834" t="str">
        <f t="shared" si="45"/>
        <v/>
      </c>
    </row>
    <row r="2835" spans="12:12" x14ac:dyDescent="0.2">
      <c r="L2835" t="str">
        <f t="shared" si="45"/>
        <v/>
      </c>
    </row>
    <row r="2836" spans="12:12" x14ac:dyDescent="0.2">
      <c r="L2836" t="str">
        <f t="shared" si="45"/>
        <v/>
      </c>
    </row>
    <row r="2837" spans="12:12" x14ac:dyDescent="0.2">
      <c r="L2837" t="str">
        <f t="shared" si="45"/>
        <v/>
      </c>
    </row>
    <row r="2838" spans="12:12" x14ac:dyDescent="0.2">
      <c r="L2838" t="str">
        <f t="shared" si="45"/>
        <v/>
      </c>
    </row>
    <row r="2839" spans="12:12" x14ac:dyDescent="0.2">
      <c r="L2839" t="str">
        <f t="shared" si="45"/>
        <v/>
      </c>
    </row>
    <row r="2840" spans="12:12" x14ac:dyDescent="0.2">
      <c r="L2840" t="str">
        <f t="shared" si="45"/>
        <v/>
      </c>
    </row>
    <row r="2841" spans="12:12" x14ac:dyDescent="0.2">
      <c r="L2841" t="str">
        <f t="shared" si="45"/>
        <v/>
      </c>
    </row>
    <row r="2842" spans="12:12" x14ac:dyDescent="0.2">
      <c r="L2842" t="str">
        <f t="shared" si="45"/>
        <v/>
      </c>
    </row>
    <row r="2843" spans="12:12" x14ac:dyDescent="0.2">
      <c r="L2843" t="str">
        <f t="shared" si="45"/>
        <v/>
      </c>
    </row>
    <row r="2844" spans="12:12" x14ac:dyDescent="0.2">
      <c r="L2844" t="str">
        <f t="shared" si="45"/>
        <v/>
      </c>
    </row>
    <row r="2845" spans="12:12" x14ac:dyDescent="0.2">
      <c r="L2845" t="str">
        <f t="shared" si="45"/>
        <v/>
      </c>
    </row>
    <row r="2846" spans="12:12" x14ac:dyDescent="0.2">
      <c r="L2846" t="str">
        <f t="shared" si="45"/>
        <v/>
      </c>
    </row>
    <row r="2847" spans="12:12" x14ac:dyDescent="0.2">
      <c r="L2847" t="str">
        <f t="shared" si="45"/>
        <v/>
      </c>
    </row>
    <row r="2848" spans="12:12" x14ac:dyDescent="0.2">
      <c r="L2848" t="str">
        <f t="shared" si="45"/>
        <v/>
      </c>
    </row>
    <row r="2849" spans="12:12" x14ac:dyDescent="0.2">
      <c r="L2849" t="str">
        <f t="shared" si="45"/>
        <v/>
      </c>
    </row>
    <row r="2850" spans="12:12" x14ac:dyDescent="0.2">
      <c r="L2850" t="str">
        <f t="shared" si="45"/>
        <v/>
      </c>
    </row>
    <row r="2851" spans="12:12" x14ac:dyDescent="0.2">
      <c r="L2851" t="str">
        <f t="shared" si="45"/>
        <v/>
      </c>
    </row>
    <row r="2852" spans="12:12" x14ac:dyDescent="0.2">
      <c r="L2852" t="str">
        <f t="shared" si="45"/>
        <v/>
      </c>
    </row>
    <row r="2853" spans="12:12" x14ac:dyDescent="0.2">
      <c r="L2853" t="str">
        <f t="shared" si="45"/>
        <v/>
      </c>
    </row>
    <row r="2854" spans="12:12" x14ac:dyDescent="0.2">
      <c r="L2854" t="str">
        <f t="shared" si="45"/>
        <v/>
      </c>
    </row>
    <row r="2855" spans="12:12" x14ac:dyDescent="0.2">
      <c r="L2855" t="str">
        <f t="shared" si="45"/>
        <v/>
      </c>
    </row>
    <row r="2856" spans="12:12" x14ac:dyDescent="0.2">
      <c r="L2856" t="str">
        <f t="shared" si="45"/>
        <v/>
      </c>
    </row>
    <row r="2857" spans="12:12" x14ac:dyDescent="0.2">
      <c r="L2857" t="str">
        <f t="shared" si="45"/>
        <v/>
      </c>
    </row>
    <row r="2858" spans="12:12" x14ac:dyDescent="0.2">
      <c r="L2858" t="str">
        <f t="shared" si="45"/>
        <v/>
      </c>
    </row>
    <row r="2859" spans="12:12" x14ac:dyDescent="0.2">
      <c r="L2859" t="str">
        <f t="shared" si="45"/>
        <v/>
      </c>
    </row>
    <row r="2860" spans="12:12" x14ac:dyDescent="0.2">
      <c r="L2860" t="str">
        <f t="shared" si="45"/>
        <v/>
      </c>
    </row>
    <row r="2861" spans="12:12" x14ac:dyDescent="0.2">
      <c r="L2861" t="str">
        <f t="shared" si="45"/>
        <v/>
      </c>
    </row>
    <row r="2862" spans="12:12" x14ac:dyDescent="0.2">
      <c r="L2862" t="str">
        <f t="shared" si="45"/>
        <v/>
      </c>
    </row>
    <row r="2863" spans="12:12" x14ac:dyDescent="0.2">
      <c r="L2863" t="str">
        <f t="shared" si="45"/>
        <v/>
      </c>
    </row>
    <row r="2864" spans="12:12" x14ac:dyDescent="0.2">
      <c r="L2864" t="str">
        <f t="shared" si="45"/>
        <v/>
      </c>
    </row>
    <row r="2865" spans="12:12" x14ac:dyDescent="0.2">
      <c r="L2865" t="str">
        <f t="shared" si="45"/>
        <v/>
      </c>
    </row>
    <row r="2866" spans="12:12" x14ac:dyDescent="0.2">
      <c r="L2866" t="str">
        <f t="shared" si="45"/>
        <v/>
      </c>
    </row>
    <row r="2867" spans="12:12" x14ac:dyDescent="0.2">
      <c r="L2867" t="str">
        <f t="shared" si="45"/>
        <v/>
      </c>
    </row>
    <row r="2868" spans="12:12" x14ac:dyDescent="0.2">
      <c r="L2868" t="str">
        <f t="shared" si="45"/>
        <v/>
      </c>
    </row>
    <row r="2869" spans="12:12" x14ac:dyDescent="0.2">
      <c r="L2869" t="str">
        <f t="shared" si="45"/>
        <v/>
      </c>
    </row>
    <row r="2870" spans="12:12" x14ac:dyDescent="0.2">
      <c r="L2870" t="str">
        <f t="shared" si="45"/>
        <v/>
      </c>
    </row>
    <row r="2871" spans="12:12" x14ac:dyDescent="0.2">
      <c r="L2871" t="str">
        <f t="shared" si="45"/>
        <v/>
      </c>
    </row>
    <row r="2872" spans="12:12" x14ac:dyDescent="0.2">
      <c r="L2872" t="str">
        <f t="shared" si="45"/>
        <v/>
      </c>
    </row>
    <row r="2873" spans="12:12" x14ac:dyDescent="0.2">
      <c r="L2873" t="str">
        <f t="shared" si="45"/>
        <v/>
      </c>
    </row>
    <row r="2874" spans="12:12" x14ac:dyDescent="0.2">
      <c r="L2874" t="str">
        <f t="shared" si="45"/>
        <v/>
      </c>
    </row>
    <row r="2875" spans="12:12" x14ac:dyDescent="0.2">
      <c r="L2875" t="str">
        <f t="shared" si="45"/>
        <v/>
      </c>
    </row>
    <row r="2876" spans="12:12" x14ac:dyDescent="0.2">
      <c r="L2876" t="str">
        <f t="shared" si="45"/>
        <v/>
      </c>
    </row>
    <row r="2877" spans="12:12" x14ac:dyDescent="0.2">
      <c r="L2877" t="str">
        <f t="shared" si="45"/>
        <v/>
      </c>
    </row>
    <row r="2878" spans="12:12" x14ac:dyDescent="0.2">
      <c r="L2878" t="str">
        <f t="shared" si="45"/>
        <v/>
      </c>
    </row>
    <row r="2879" spans="12:12" x14ac:dyDescent="0.2">
      <c r="L2879" t="str">
        <f t="shared" si="45"/>
        <v/>
      </c>
    </row>
    <row r="2880" spans="12:12" x14ac:dyDescent="0.2">
      <c r="L2880" t="str">
        <f t="shared" si="45"/>
        <v/>
      </c>
    </row>
    <row r="2881" spans="12:12" x14ac:dyDescent="0.2">
      <c r="L2881" t="str">
        <f t="shared" si="45"/>
        <v/>
      </c>
    </row>
    <row r="2882" spans="12:12" x14ac:dyDescent="0.2">
      <c r="L2882" t="str">
        <f t="shared" si="45"/>
        <v/>
      </c>
    </row>
    <row r="2883" spans="12:12" x14ac:dyDescent="0.2">
      <c r="L2883" t="str">
        <f t="shared" si="45"/>
        <v/>
      </c>
    </row>
    <row r="2884" spans="12:12" x14ac:dyDescent="0.2">
      <c r="L2884" t="str">
        <f t="shared" ref="L2884:L2947" si="46">IF(L2883&lt;$I$15,L2883+$I$16,"")</f>
        <v/>
      </c>
    </row>
    <row r="2885" spans="12:12" x14ac:dyDescent="0.2">
      <c r="L2885" t="str">
        <f t="shared" si="46"/>
        <v/>
      </c>
    </row>
    <row r="2886" spans="12:12" x14ac:dyDescent="0.2">
      <c r="L2886" t="str">
        <f t="shared" si="46"/>
        <v/>
      </c>
    </row>
    <row r="2887" spans="12:12" x14ac:dyDescent="0.2">
      <c r="L2887" t="str">
        <f t="shared" si="46"/>
        <v/>
      </c>
    </row>
    <row r="2888" spans="12:12" x14ac:dyDescent="0.2">
      <c r="L2888" t="str">
        <f t="shared" si="46"/>
        <v/>
      </c>
    </row>
    <row r="2889" spans="12:12" x14ac:dyDescent="0.2">
      <c r="L2889" t="str">
        <f t="shared" si="46"/>
        <v/>
      </c>
    </row>
    <row r="2890" spans="12:12" x14ac:dyDescent="0.2">
      <c r="L2890" t="str">
        <f t="shared" si="46"/>
        <v/>
      </c>
    </row>
    <row r="2891" spans="12:12" x14ac:dyDescent="0.2">
      <c r="L2891" t="str">
        <f t="shared" si="46"/>
        <v/>
      </c>
    </row>
    <row r="2892" spans="12:12" x14ac:dyDescent="0.2">
      <c r="L2892" t="str">
        <f t="shared" si="46"/>
        <v/>
      </c>
    </row>
    <row r="2893" spans="12:12" x14ac:dyDescent="0.2">
      <c r="L2893" t="str">
        <f t="shared" si="46"/>
        <v/>
      </c>
    </row>
    <row r="2894" spans="12:12" x14ac:dyDescent="0.2">
      <c r="L2894" t="str">
        <f t="shared" si="46"/>
        <v/>
      </c>
    </row>
    <row r="2895" spans="12:12" x14ac:dyDescent="0.2">
      <c r="L2895" t="str">
        <f t="shared" si="46"/>
        <v/>
      </c>
    </row>
    <row r="2896" spans="12:12" x14ac:dyDescent="0.2">
      <c r="L2896" t="str">
        <f t="shared" si="46"/>
        <v/>
      </c>
    </row>
    <row r="2897" spans="12:12" x14ac:dyDescent="0.2">
      <c r="L2897" t="str">
        <f t="shared" si="46"/>
        <v/>
      </c>
    </row>
    <row r="2898" spans="12:12" x14ac:dyDescent="0.2">
      <c r="L2898" t="str">
        <f t="shared" si="46"/>
        <v/>
      </c>
    </row>
    <row r="2899" spans="12:12" x14ac:dyDescent="0.2">
      <c r="L2899" t="str">
        <f t="shared" si="46"/>
        <v/>
      </c>
    </row>
    <row r="2900" spans="12:12" x14ac:dyDescent="0.2">
      <c r="L2900" t="str">
        <f t="shared" si="46"/>
        <v/>
      </c>
    </row>
    <row r="2901" spans="12:12" x14ac:dyDescent="0.2">
      <c r="L2901" t="str">
        <f t="shared" si="46"/>
        <v/>
      </c>
    </row>
    <row r="2902" spans="12:12" x14ac:dyDescent="0.2">
      <c r="L2902" t="str">
        <f t="shared" si="46"/>
        <v/>
      </c>
    </row>
    <row r="2903" spans="12:12" x14ac:dyDescent="0.2">
      <c r="L2903" t="str">
        <f t="shared" si="46"/>
        <v/>
      </c>
    </row>
    <row r="2904" spans="12:12" x14ac:dyDescent="0.2">
      <c r="L2904" t="str">
        <f t="shared" si="46"/>
        <v/>
      </c>
    </row>
    <row r="2905" spans="12:12" x14ac:dyDescent="0.2">
      <c r="L2905" t="str">
        <f t="shared" si="46"/>
        <v/>
      </c>
    </row>
    <row r="2906" spans="12:12" x14ac:dyDescent="0.2">
      <c r="L2906" t="str">
        <f t="shared" si="46"/>
        <v/>
      </c>
    </row>
    <row r="2907" spans="12:12" x14ac:dyDescent="0.2">
      <c r="L2907" t="str">
        <f t="shared" si="46"/>
        <v/>
      </c>
    </row>
    <row r="2908" spans="12:12" x14ac:dyDescent="0.2">
      <c r="L2908" t="str">
        <f t="shared" si="46"/>
        <v/>
      </c>
    </row>
    <row r="2909" spans="12:12" x14ac:dyDescent="0.2">
      <c r="L2909" t="str">
        <f t="shared" si="46"/>
        <v/>
      </c>
    </row>
    <row r="2910" spans="12:12" x14ac:dyDescent="0.2">
      <c r="L2910" t="str">
        <f t="shared" si="46"/>
        <v/>
      </c>
    </row>
    <row r="2911" spans="12:12" x14ac:dyDescent="0.2">
      <c r="L2911" t="str">
        <f t="shared" si="46"/>
        <v/>
      </c>
    </row>
    <row r="2912" spans="12:12" x14ac:dyDescent="0.2">
      <c r="L2912" t="str">
        <f t="shared" si="46"/>
        <v/>
      </c>
    </row>
    <row r="2913" spans="12:12" x14ac:dyDescent="0.2">
      <c r="L2913" t="str">
        <f t="shared" si="46"/>
        <v/>
      </c>
    </row>
    <row r="2914" spans="12:12" x14ac:dyDescent="0.2">
      <c r="L2914" t="str">
        <f t="shared" si="46"/>
        <v/>
      </c>
    </row>
    <row r="2915" spans="12:12" x14ac:dyDescent="0.2">
      <c r="L2915" t="str">
        <f t="shared" si="46"/>
        <v/>
      </c>
    </row>
    <row r="2916" spans="12:12" x14ac:dyDescent="0.2">
      <c r="L2916" t="str">
        <f t="shared" si="46"/>
        <v/>
      </c>
    </row>
    <row r="2917" spans="12:12" x14ac:dyDescent="0.2">
      <c r="L2917" t="str">
        <f t="shared" si="46"/>
        <v/>
      </c>
    </row>
    <row r="2918" spans="12:12" x14ac:dyDescent="0.2">
      <c r="L2918" t="str">
        <f t="shared" si="46"/>
        <v/>
      </c>
    </row>
    <row r="2919" spans="12:12" x14ac:dyDescent="0.2">
      <c r="L2919" t="str">
        <f t="shared" si="46"/>
        <v/>
      </c>
    </row>
    <row r="2920" spans="12:12" x14ac:dyDescent="0.2">
      <c r="L2920" t="str">
        <f t="shared" si="46"/>
        <v/>
      </c>
    </row>
    <row r="2921" spans="12:12" x14ac:dyDescent="0.2">
      <c r="L2921" t="str">
        <f t="shared" si="46"/>
        <v/>
      </c>
    </row>
    <row r="2922" spans="12:12" x14ac:dyDescent="0.2">
      <c r="L2922" t="str">
        <f t="shared" si="46"/>
        <v/>
      </c>
    </row>
    <row r="2923" spans="12:12" x14ac:dyDescent="0.2">
      <c r="L2923" t="str">
        <f t="shared" si="46"/>
        <v/>
      </c>
    </row>
    <row r="2924" spans="12:12" x14ac:dyDescent="0.2">
      <c r="L2924" t="str">
        <f t="shared" si="46"/>
        <v/>
      </c>
    </row>
    <row r="2925" spans="12:12" x14ac:dyDescent="0.2">
      <c r="L2925" t="str">
        <f t="shared" si="46"/>
        <v/>
      </c>
    </row>
    <row r="2926" spans="12:12" x14ac:dyDescent="0.2">
      <c r="L2926" t="str">
        <f t="shared" si="46"/>
        <v/>
      </c>
    </row>
    <row r="2927" spans="12:12" x14ac:dyDescent="0.2">
      <c r="L2927" t="str">
        <f t="shared" si="46"/>
        <v/>
      </c>
    </row>
    <row r="2928" spans="12:12" x14ac:dyDescent="0.2">
      <c r="L2928" t="str">
        <f t="shared" si="46"/>
        <v/>
      </c>
    </row>
    <row r="2929" spans="12:12" x14ac:dyDescent="0.2">
      <c r="L2929" t="str">
        <f t="shared" si="46"/>
        <v/>
      </c>
    </row>
    <row r="2930" spans="12:12" x14ac:dyDescent="0.2">
      <c r="L2930" t="str">
        <f t="shared" si="46"/>
        <v/>
      </c>
    </row>
    <row r="2931" spans="12:12" x14ac:dyDescent="0.2">
      <c r="L2931" t="str">
        <f t="shared" si="46"/>
        <v/>
      </c>
    </row>
    <row r="2932" spans="12:12" x14ac:dyDescent="0.2">
      <c r="L2932" t="str">
        <f t="shared" si="46"/>
        <v/>
      </c>
    </row>
    <row r="2933" spans="12:12" x14ac:dyDescent="0.2">
      <c r="L2933" t="str">
        <f t="shared" si="46"/>
        <v/>
      </c>
    </row>
    <row r="2934" spans="12:12" x14ac:dyDescent="0.2">
      <c r="L2934" t="str">
        <f t="shared" si="46"/>
        <v/>
      </c>
    </row>
    <row r="2935" spans="12:12" x14ac:dyDescent="0.2">
      <c r="L2935" t="str">
        <f t="shared" si="46"/>
        <v/>
      </c>
    </row>
    <row r="2936" spans="12:12" x14ac:dyDescent="0.2">
      <c r="L2936" t="str">
        <f t="shared" si="46"/>
        <v/>
      </c>
    </row>
    <row r="2937" spans="12:12" x14ac:dyDescent="0.2">
      <c r="L2937" t="str">
        <f t="shared" si="46"/>
        <v/>
      </c>
    </row>
    <row r="2938" spans="12:12" x14ac:dyDescent="0.2">
      <c r="L2938" t="str">
        <f t="shared" si="46"/>
        <v/>
      </c>
    </row>
    <row r="2939" spans="12:12" x14ac:dyDescent="0.2">
      <c r="L2939" t="str">
        <f t="shared" si="46"/>
        <v/>
      </c>
    </row>
    <row r="2940" spans="12:12" x14ac:dyDescent="0.2">
      <c r="L2940" t="str">
        <f t="shared" si="46"/>
        <v/>
      </c>
    </row>
    <row r="2941" spans="12:12" x14ac:dyDescent="0.2">
      <c r="L2941" t="str">
        <f t="shared" si="46"/>
        <v/>
      </c>
    </row>
    <row r="2942" spans="12:12" x14ac:dyDescent="0.2">
      <c r="L2942" t="str">
        <f t="shared" si="46"/>
        <v/>
      </c>
    </row>
    <row r="2943" spans="12:12" x14ac:dyDescent="0.2">
      <c r="L2943" t="str">
        <f t="shared" si="46"/>
        <v/>
      </c>
    </row>
    <row r="2944" spans="12:12" x14ac:dyDescent="0.2">
      <c r="L2944" t="str">
        <f t="shared" si="46"/>
        <v/>
      </c>
    </row>
    <row r="2945" spans="12:12" x14ac:dyDescent="0.2">
      <c r="L2945" t="str">
        <f t="shared" si="46"/>
        <v/>
      </c>
    </row>
    <row r="2946" spans="12:12" x14ac:dyDescent="0.2">
      <c r="L2946" t="str">
        <f t="shared" si="46"/>
        <v/>
      </c>
    </row>
    <row r="2947" spans="12:12" x14ac:dyDescent="0.2">
      <c r="L2947" t="str">
        <f t="shared" si="46"/>
        <v/>
      </c>
    </row>
    <row r="2948" spans="12:12" x14ac:dyDescent="0.2">
      <c r="L2948" t="str">
        <f t="shared" ref="L2948:L3011" si="47">IF(L2947&lt;$I$15,L2947+$I$16,"")</f>
        <v/>
      </c>
    </row>
    <row r="2949" spans="12:12" x14ac:dyDescent="0.2">
      <c r="L2949" t="str">
        <f t="shared" si="47"/>
        <v/>
      </c>
    </row>
    <row r="2950" spans="12:12" x14ac:dyDescent="0.2">
      <c r="L2950" t="str">
        <f t="shared" si="47"/>
        <v/>
      </c>
    </row>
    <row r="2951" spans="12:12" x14ac:dyDescent="0.2">
      <c r="L2951" t="str">
        <f t="shared" si="47"/>
        <v/>
      </c>
    </row>
    <row r="2952" spans="12:12" x14ac:dyDescent="0.2">
      <c r="L2952" t="str">
        <f t="shared" si="47"/>
        <v/>
      </c>
    </row>
    <row r="2953" spans="12:12" x14ac:dyDescent="0.2">
      <c r="L2953" t="str">
        <f t="shared" si="47"/>
        <v/>
      </c>
    </row>
    <row r="2954" spans="12:12" x14ac:dyDescent="0.2">
      <c r="L2954" t="str">
        <f t="shared" si="47"/>
        <v/>
      </c>
    </row>
    <row r="2955" spans="12:12" x14ac:dyDescent="0.2">
      <c r="L2955" t="str">
        <f t="shared" si="47"/>
        <v/>
      </c>
    </row>
    <row r="2956" spans="12:12" x14ac:dyDescent="0.2">
      <c r="L2956" t="str">
        <f t="shared" si="47"/>
        <v/>
      </c>
    </row>
    <row r="2957" spans="12:12" x14ac:dyDescent="0.2">
      <c r="L2957" t="str">
        <f t="shared" si="47"/>
        <v/>
      </c>
    </row>
    <row r="2958" spans="12:12" x14ac:dyDescent="0.2">
      <c r="L2958" t="str">
        <f t="shared" si="47"/>
        <v/>
      </c>
    </row>
    <row r="2959" spans="12:12" x14ac:dyDescent="0.2">
      <c r="L2959" t="str">
        <f t="shared" si="47"/>
        <v/>
      </c>
    </row>
    <row r="2960" spans="12:12" x14ac:dyDescent="0.2">
      <c r="L2960" t="str">
        <f t="shared" si="47"/>
        <v/>
      </c>
    </row>
    <row r="2961" spans="12:12" x14ac:dyDescent="0.2">
      <c r="L2961" t="str">
        <f t="shared" si="47"/>
        <v/>
      </c>
    </row>
    <row r="2962" spans="12:12" x14ac:dyDescent="0.2">
      <c r="L2962" t="str">
        <f t="shared" si="47"/>
        <v/>
      </c>
    </row>
    <row r="2963" spans="12:12" x14ac:dyDescent="0.2">
      <c r="L2963" t="str">
        <f t="shared" si="47"/>
        <v/>
      </c>
    </row>
    <row r="2964" spans="12:12" x14ac:dyDescent="0.2">
      <c r="L2964" t="str">
        <f t="shared" si="47"/>
        <v/>
      </c>
    </row>
    <row r="2965" spans="12:12" x14ac:dyDescent="0.2">
      <c r="L2965" t="str">
        <f t="shared" si="47"/>
        <v/>
      </c>
    </row>
    <row r="2966" spans="12:12" x14ac:dyDescent="0.2">
      <c r="L2966" t="str">
        <f t="shared" si="47"/>
        <v/>
      </c>
    </row>
    <row r="2967" spans="12:12" x14ac:dyDescent="0.2">
      <c r="L2967" t="str">
        <f t="shared" si="47"/>
        <v/>
      </c>
    </row>
    <row r="2968" spans="12:12" x14ac:dyDescent="0.2">
      <c r="L2968" t="str">
        <f t="shared" si="47"/>
        <v/>
      </c>
    </row>
    <row r="2969" spans="12:12" x14ac:dyDescent="0.2">
      <c r="L2969" t="str">
        <f t="shared" si="47"/>
        <v/>
      </c>
    </row>
    <row r="2970" spans="12:12" x14ac:dyDescent="0.2">
      <c r="L2970" t="str">
        <f t="shared" si="47"/>
        <v/>
      </c>
    </row>
    <row r="2971" spans="12:12" x14ac:dyDescent="0.2">
      <c r="L2971" t="str">
        <f t="shared" si="47"/>
        <v/>
      </c>
    </row>
    <row r="2972" spans="12:12" x14ac:dyDescent="0.2">
      <c r="L2972" t="str">
        <f t="shared" si="47"/>
        <v/>
      </c>
    </row>
    <row r="2973" spans="12:12" x14ac:dyDescent="0.2">
      <c r="L2973" t="str">
        <f t="shared" si="47"/>
        <v/>
      </c>
    </row>
    <row r="2974" spans="12:12" x14ac:dyDescent="0.2">
      <c r="L2974" t="str">
        <f t="shared" si="47"/>
        <v/>
      </c>
    </row>
    <row r="2975" spans="12:12" x14ac:dyDescent="0.2">
      <c r="L2975" t="str">
        <f t="shared" si="47"/>
        <v/>
      </c>
    </row>
    <row r="2976" spans="12:12" x14ac:dyDescent="0.2">
      <c r="L2976" t="str">
        <f t="shared" si="47"/>
        <v/>
      </c>
    </row>
    <row r="2977" spans="12:12" x14ac:dyDescent="0.2">
      <c r="L2977" t="str">
        <f t="shared" si="47"/>
        <v/>
      </c>
    </row>
    <row r="2978" spans="12:12" x14ac:dyDescent="0.2">
      <c r="L2978" t="str">
        <f t="shared" si="47"/>
        <v/>
      </c>
    </row>
    <row r="2979" spans="12:12" x14ac:dyDescent="0.2">
      <c r="L2979" t="str">
        <f t="shared" si="47"/>
        <v/>
      </c>
    </row>
    <row r="2980" spans="12:12" x14ac:dyDescent="0.2">
      <c r="L2980" t="str">
        <f t="shared" si="47"/>
        <v/>
      </c>
    </row>
    <row r="2981" spans="12:12" x14ac:dyDescent="0.2">
      <c r="L2981" t="str">
        <f t="shared" si="47"/>
        <v/>
      </c>
    </row>
    <row r="2982" spans="12:12" x14ac:dyDescent="0.2">
      <c r="L2982" t="str">
        <f t="shared" si="47"/>
        <v/>
      </c>
    </row>
    <row r="2983" spans="12:12" x14ac:dyDescent="0.2">
      <c r="L2983" t="str">
        <f t="shared" si="47"/>
        <v/>
      </c>
    </row>
    <row r="2984" spans="12:12" x14ac:dyDescent="0.2">
      <c r="L2984" t="str">
        <f t="shared" si="47"/>
        <v/>
      </c>
    </row>
    <row r="2985" spans="12:12" x14ac:dyDescent="0.2">
      <c r="L2985" t="str">
        <f t="shared" si="47"/>
        <v/>
      </c>
    </row>
    <row r="2986" spans="12:12" x14ac:dyDescent="0.2">
      <c r="L2986" t="str">
        <f t="shared" si="47"/>
        <v/>
      </c>
    </row>
    <row r="2987" spans="12:12" x14ac:dyDescent="0.2">
      <c r="L2987" t="str">
        <f t="shared" si="47"/>
        <v/>
      </c>
    </row>
    <row r="2988" spans="12:12" x14ac:dyDescent="0.2">
      <c r="L2988" t="str">
        <f t="shared" si="47"/>
        <v/>
      </c>
    </row>
    <row r="2989" spans="12:12" x14ac:dyDescent="0.2">
      <c r="L2989" t="str">
        <f t="shared" si="47"/>
        <v/>
      </c>
    </row>
    <row r="2990" spans="12:12" x14ac:dyDescent="0.2">
      <c r="L2990" t="str">
        <f t="shared" si="47"/>
        <v/>
      </c>
    </row>
    <row r="2991" spans="12:12" x14ac:dyDescent="0.2">
      <c r="L2991" t="str">
        <f t="shared" si="47"/>
        <v/>
      </c>
    </row>
    <row r="2992" spans="12:12" x14ac:dyDescent="0.2">
      <c r="L2992" t="str">
        <f t="shared" si="47"/>
        <v/>
      </c>
    </row>
    <row r="2993" spans="12:12" x14ac:dyDescent="0.2">
      <c r="L2993" t="str">
        <f t="shared" si="47"/>
        <v/>
      </c>
    </row>
    <row r="2994" spans="12:12" x14ac:dyDescent="0.2">
      <c r="L2994" t="str">
        <f t="shared" si="47"/>
        <v/>
      </c>
    </row>
    <row r="2995" spans="12:12" x14ac:dyDescent="0.2">
      <c r="L2995" t="str">
        <f t="shared" si="47"/>
        <v/>
      </c>
    </row>
    <row r="2996" spans="12:12" x14ac:dyDescent="0.2">
      <c r="L2996" t="str">
        <f t="shared" si="47"/>
        <v/>
      </c>
    </row>
    <row r="2997" spans="12:12" x14ac:dyDescent="0.2">
      <c r="L2997" t="str">
        <f t="shared" si="47"/>
        <v/>
      </c>
    </row>
    <row r="2998" spans="12:12" x14ac:dyDescent="0.2">
      <c r="L2998" t="str">
        <f t="shared" si="47"/>
        <v/>
      </c>
    </row>
    <row r="2999" spans="12:12" x14ac:dyDescent="0.2">
      <c r="L2999" t="str">
        <f t="shared" si="47"/>
        <v/>
      </c>
    </row>
    <row r="3000" spans="12:12" x14ac:dyDescent="0.2">
      <c r="L3000" t="str">
        <f t="shared" si="47"/>
        <v/>
      </c>
    </row>
    <row r="3001" spans="12:12" x14ac:dyDescent="0.2">
      <c r="L3001" t="str">
        <f t="shared" si="47"/>
        <v/>
      </c>
    </row>
    <row r="3002" spans="12:12" x14ac:dyDescent="0.2">
      <c r="L3002" t="str">
        <f t="shared" si="47"/>
        <v/>
      </c>
    </row>
    <row r="3003" spans="12:12" x14ac:dyDescent="0.2">
      <c r="L3003" t="str">
        <f t="shared" si="47"/>
        <v/>
      </c>
    </row>
    <row r="3004" spans="12:12" x14ac:dyDescent="0.2">
      <c r="L3004" t="str">
        <f t="shared" si="47"/>
        <v/>
      </c>
    </row>
    <row r="3005" spans="12:12" x14ac:dyDescent="0.2">
      <c r="L3005" t="str">
        <f t="shared" si="47"/>
        <v/>
      </c>
    </row>
    <row r="3006" spans="12:12" x14ac:dyDescent="0.2">
      <c r="L3006" t="str">
        <f t="shared" si="47"/>
        <v/>
      </c>
    </row>
    <row r="3007" spans="12:12" x14ac:dyDescent="0.2">
      <c r="L3007" t="str">
        <f t="shared" si="47"/>
        <v/>
      </c>
    </row>
    <row r="3008" spans="12:12" x14ac:dyDescent="0.2">
      <c r="L3008" t="str">
        <f t="shared" si="47"/>
        <v/>
      </c>
    </row>
    <row r="3009" spans="12:12" x14ac:dyDescent="0.2">
      <c r="L3009" t="str">
        <f t="shared" si="47"/>
        <v/>
      </c>
    </row>
    <row r="3010" spans="12:12" x14ac:dyDescent="0.2">
      <c r="L3010" t="str">
        <f t="shared" si="47"/>
        <v/>
      </c>
    </row>
    <row r="3011" spans="12:12" x14ac:dyDescent="0.2">
      <c r="L3011" t="str">
        <f t="shared" si="47"/>
        <v/>
      </c>
    </row>
    <row r="3012" spans="12:12" x14ac:dyDescent="0.2">
      <c r="L3012" t="str">
        <f t="shared" ref="L3012:L3075" si="48">IF(L3011&lt;$I$15,L3011+$I$16,"")</f>
        <v/>
      </c>
    </row>
    <row r="3013" spans="12:12" x14ac:dyDescent="0.2">
      <c r="L3013" t="str">
        <f t="shared" si="48"/>
        <v/>
      </c>
    </row>
    <row r="3014" spans="12:12" x14ac:dyDescent="0.2">
      <c r="L3014" t="str">
        <f t="shared" si="48"/>
        <v/>
      </c>
    </row>
    <row r="3015" spans="12:12" x14ac:dyDescent="0.2">
      <c r="L3015" t="str">
        <f t="shared" si="48"/>
        <v/>
      </c>
    </row>
    <row r="3016" spans="12:12" x14ac:dyDescent="0.2">
      <c r="L3016" t="str">
        <f t="shared" si="48"/>
        <v/>
      </c>
    </row>
    <row r="3017" spans="12:12" x14ac:dyDescent="0.2">
      <c r="L3017" t="str">
        <f t="shared" si="48"/>
        <v/>
      </c>
    </row>
    <row r="3018" spans="12:12" x14ac:dyDescent="0.2">
      <c r="L3018" t="str">
        <f t="shared" si="48"/>
        <v/>
      </c>
    </row>
    <row r="3019" spans="12:12" x14ac:dyDescent="0.2">
      <c r="L3019" t="str">
        <f t="shared" si="48"/>
        <v/>
      </c>
    </row>
    <row r="3020" spans="12:12" x14ac:dyDescent="0.2">
      <c r="L3020" t="str">
        <f t="shared" si="48"/>
        <v/>
      </c>
    </row>
    <row r="3021" spans="12:12" x14ac:dyDescent="0.2">
      <c r="L3021" t="str">
        <f t="shared" si="48"/>
        <v/>
      </c>
    </row>
    <row r="3022" spans="12:12" x14ac:dyDescent="0.2">
      <c r="L3022" t="str">
        <f t="shared" si="48"/>
        <v/>
      </c>
    </row>
    <row r="3023" spans="12:12" x14ac:dyDescent="0.2">
      <c r="L3023" t="str">
        <f t="shared" si="48"/>
        <v/>
      </c>
    </row>
    <row r="3024" spans="12:12" x14ac:dyDescent="0.2">
      <c r="L3024" t="str">
        <f t="shared" si="48"/>
        <v/>
      </c>
    </row>
    <row r="3025" spans="12:12" x14ac:dyDescent="0.2">
      <c r="L3025" t="str">
        <f t="shared" si="48"/>
        <v/>
      </c>
    </row>
    <row r="3026" spans="12:12" x14ac:dyDescent="0.2">
      <c r="L3026" t="str">
        <f t="shared" si="48"/>
        <v/>
      </c>
    </row>
    <row r="3027" spans="12:12" x14ac:dyDescent="0.2">
      <c r="L3027" t="str">
        <f t="shared" si="48"/>
        <v/>
      </c>
    </row>
    <row r="3028" spans="12:12" x14ac:dyDescent="0.2">
      <c r="L3028" t="str">
        <f t="shared" si="48"/>
        <v/>
      </c>
    </row>
    <row r="3029" spans="12:12" x14ac:dyDescent="0.2">
      <c r="L3029" t="str">
        <f t="shared" si="48"/>
        <v/>
      </c>
    </row>
    <row r="3030" spans="12:12" x14ac:dyDescent="0.2">
      <c r="L3030" t="str">
        <f t="shared" si="48"/>
        <v/>
      </c>
    </row>
    <row r="3031" spans="12:12" x14ac:dyDescent="0.2">
      <c r="L3031" t="str">
        <f t="shared" si="48"/>
        <v/>
      </c>
    </row>
    <row r="3032" spans="12:12" x14ac:dyDescent="0.2">
      <c r="L3032" t="str">
        <f t="shared" si="48"/>
        <v/>
      </c>
    </row>
    <row r="3033" spans="12:12" x14ac:dyDescent="0.2">
      <c r="L3033" t="str">
        <f t="shared" si="48"/>
        <v/>
      </c>
    </row>
    <row r="3034" spans="12:12" x14ac:dyDescent="0.2">
      <c r="L3034" t="str">
        <f t="shared" si="48"/>
        <v/>
      </c>
    </row>
    <row r="3035" spans="12:12" x14ac:dyDescent="0.2">
      <c r="L3035" t="str">
        <f t="shared" si="48"/>
        <v/>
      </c>
    </row>
    <row r="3036" spans="12:12" x14ac:dyDescent="0.2">
      <c r="L3036" t="str">
        <f t="shared" si="48"/>
        <v/>
      </c>
    </row>
    <row r="3037" spans="12:12" x14ac:dyDescent="0.2">
      <c r="L3037" t="str">
        <f t="shared" si="48"/>
        <v/>
      </c>
    </row>
    <row r="3038" spans="12:12" x14ac:dyDescent="0.2">
      <c r="L3038" t="str">
        <f t="shared" si="48"/>
        <v/>
      </c>
    </row>
    <row r="3039" spans="12:12" x14ac:dyDescent="0.2">
      <c r="L3039" t="str">
        <f t="shared" si="48"/>
        <v/>
      </c>
    </row>
    <row r="3040" spans="12:12" x14ac:dyDescent="0.2">
      <c r="L3040" t="str">
        <f t="shared" si="48"/>
        <v/>
      </c>
    </row>
    <row r="3041" spans="12:12" x14ac:dyDescent="0.2">
      <c r="L3041" t="str">
        <f t="shared" si="48"/>
        <v/>
      </c>
    </row>
    <row r="3042" spans="12:12" x14ac:dyDescent="0.2">
      <c r="L3042" t="str">
        <f t="shared" si="48"/>
        <v/>
      </c>
    </row>
    <row r="3043" spans="12:12" x14ac:dyDescent="0.2">
      <c r="L3043" t="str">
        <f t="shared" si="48"/>
        <v/>
      </c>
    </row>
    <row r="3044" spans="12:12" x14ac:dyDescent="0.2">
      <c r="L3044" t="str">
        <f t="shared" si="48"/>
        <v/>
      </c>
    </row>
    <row r="3045" spans="12:12" x14ac:dyDescent="0.2">
      <c r="L3045" t="str">
        <f t="shared" si="48"/>
        <v/>
      </c>
    </row>
    <row r="3046" spans="12:12" x14ac:dyDescent="0.2">
      <c r="L3046" t="str">
        <f t="shared" si="48"/>
        <v/>
      </c>
    </row>
    <row r="3047" spans="12:12" x14ac:dyDescent="0.2">
      <c r="L3047" t="str">
        <f t="shared" si="48"/>
        <v/>
      </c>
    </row>
    <row r="3048" spans="12:12" x14ac:dyDescent="0.2">
      <c r="L3048" t="str">
        <f t="shared" si="48"/>
        <v/>
      </c>
    </row>
    <row r="3049" spans="12:12" x14ac:dyDescent="0.2">
      <c r="L3049" t="str">
        <f t="shared" si="48"/>
        <v/>
      </c>
    </row>
    <row r="3050" spans="12:12" x14ac:dyDescent="0.2">
      <c r="L3050" t="str">
        <f t="shared" si="48"/>
        <v/>
      </c>
    </row>
    <row r="3051" spans="12:12" x14ac:dyDescent="0.2">
      <c r="L3051" t="str">
        <f t="shared" si="48"/>
        <v/>
      </c>
    </row>
    <row r="3052" spans="12:12" x14ac:dyDescent="0.2">
      <c r="L3052" t="str">
        <f t="shared" si="48"/>
        <v/>
      </c>
    </row>
    <row r="3053" spans="12:12" x14ac:dyDescent="0.2">
      <c r="L3053" t="str">
        <f t="shared" si="48"/>
        <v/>
      </c>
    </row>
    <row r="3054" spans="12:12" x14ac:dyDescent="0.2">
      <c r="L3054" t="str">
        <f t="shared" si="48"/>
        <v/>
      </c>
    </row>
    <row r="3055" spans="12:12" x14ac:dyDescent="0.2">
      <c r="L3055" t="str">
        <f t="shared" si="48"/>
        <v/>
      </c>
    </row>
    <row r="3056" spans="12:12" x14ac:dyDescent="0.2">
      <c r="L3056" t="str">
        <f t="shared" si="48"/>
        <v/>
      </c>
    </row>
    <row r="3057" spans="12:12" x14ac:dyDescent="0.2">
      <c r="L3057" t="str">
        <f t="shared" si="48"/>
        <v/>
      </c>
    </row>
    <row r="3058" spans="12:12" x14ac:dyDescent="0.2">
      <c r="L3058" t="str">
        <f t="shared" si="48"/>
        <v/>
      </c>
    </row>
    <row r="3059" spans="12:12" x14ac:dyDescent="0.2">
      <c r="L3059" t="str">
        <f t="shared" si="48"/>
        <v/>
      </c>
    </row>
    <row r="3060" spans="12:12" x14ac:dyDescent="0.2">
      <c r="L3060" t="str">
        <f t="shared" si="48"/>
        <v/>
      </c>
    </row>
    <row r="3061" spans="12:12" x14ac:dyDescent="0.2">
      <c r="L3061" t="str">
        <f t="shared" si="48"/>
        <v/>
      </c>
    </row>
    <row r="3062" spans="12:12" x14ac:dyDescent="0.2">
      <c r="L3062" t="str">
        <f t="shared" si="48"/>
        <v/>
      </c>
    </row>
    <row r="3063" spans="12:12" x14ac:dyDescent="0.2">
      <c r="L3063" t="str">
        <f t="shared" si="48"/>
        <v/>
      </c>
    </row>
    <row r="3064" spans="12:12" x14ac:dyDescent="0.2">
      <c r="L3064" t="str">
        <f t="shared" si="48"/>
        <v/>
      </c>
    </row>
    <row r="3065" spans="12:12" x14ac:dyDescent="0.2">
      <c r="L3065" t="str">
        <f t="shared" si="48"/>
        <v/>
      </c>
    </row>
    <row r="3066" spans="12:12" x14ac:dyDescent="0.2">
      <c r="L3066" t="str">
        <f t="shared" si="48"/>
        <v/>
      </c>
    </row>
    <row r="3067" spans="12:12" x14ac:dyDescent="0.2">
      <c r="L3067" t="str">
        <f t="shared" si="48"/>
        <v/>
      </c>
    </row>
    <row r="3068" spans="12:12" x14ac:dyDescent="0.2">
      <c r="L3068" t="str">
        <f t="shared" si="48"/>
        <v/>
      </c>
    </row>
    <row r="3069" spans="12:12" x14ac:dyDescent="0.2">
      <c r="L3069" t="str">
        <f t="shared" si="48"/>
        <v/>
      </c>
    </row>
    <row r="3070" spans="12:12" x14ac:dyDescent="0.2">
      <c r="L3070" t="str">
        <f t="shared" si="48"/>
        <v/>
      </c>
    </row>
    <row r="3071" spans="12:12" x14ac:dyDescent="0.2">
      <c r="L3071" t="str">
        <f t="shared" si="48"/>
        <v/>
      </c>
    </row>
    <row r="3072" spans="12:12" x14ac:dyDescent="0.2">
      <c r="L3072" t="str">
        <f t="shared" si="48"/>
        <v/>
      </c>
    </row>
    <row r="3073" spans="12:12" x14ac:dyDescent="0.2">
      <c r="L3073" t="str">
        <f t="shared" si="48"/>
        <v/>
      </c>
    </row>
    <row r="3074" spans="12:12" x14ac:dyDescent="0.2">
      <c r="L3074" t="str">
        <f t="shared" si="48"/>
        <v/>
      </c>
    </row>
    <row r="3075" spans="12:12" x14ac:dyDescent="0.2">
      <c r="L3075" t="str">
        <f t="shared" si="48"/>
        <v/>
      </c>
    </row>
    <row r="3076" spans="12:12" x14ac:dyDescent="0.2">
      <c r="L3076" t="str">
        <f t="shared" ref="L3076:L3139" si="49">IF(L3075&lt;$I$15,L3075+$I$16,"")</f>
        <v/>
      </c>
    </row>
    <row r="3077" spans="12:12" x14ac:dyDescent="0.2">
      <c r="L3077" t="str">
        <f t="shared" si="49"/>
        <v/>
      </c>
    </row>
    <row r="3078" spans="12:12" x14ac:dyDescent="0.2">
      <c r="L3078" t="str">
        <f t="shared" si="49"/>
        <v/>
      </c>
    </row>
    <row r="3079" spans="12:12" x14ac:dyDescent="0.2">
      <c r="L3079" t="str">
        <f t="shared" si="49"/>
        <v/>
      </c>
    </row>
    <row r="3080" spans="12:12" x14ac:dyDescent="0.2">
      <c r="L3080" t="str">
        <f t="shared" si="49"/>
        <v/>
      </c>
    </row>
    <row r="3081" spans="12:12" x14ac:dyDescent="0.2">
      <c r="L3081" t="str">
        <f t="shared" si="49"/>
        <v/>
      </c>
    </row>
    <row r="3082" spans="12:12" x14ac:dyDescent="0.2">
      <c r="L3082" t="str">
        <f t="shared" si="49"/>
        <v/>
      </c>
    </row>
    <row r="3083" spans="12:12" x14ac:dyDescent="0.2">
      <c r="L3083" t="str">
        <f t="shared" si="49"/>
        <v/>
      </c>
    </row>
    <row r="3084" spans="12:12" x14ac:dyDescent="0.2">
      <c r="L3084" t="str">
        <f t="shared" si="49"/>
        <v/>
      </c>
    </row>
    <row r="3085" spans="12:12" x14ac:dyDescent="0.2">
      <c r="L3085" t="str">
        <f t="shared" si="49"/>
        <v/>
      </c>
    </row>
    <row r="3086" spans="12:12" x14ac:dyDescent="0.2">
      <c r="L3086" t="str">
        <f t="shared" si="49"/>
        <v/>
      </c>
    </row>
    <row r="3087" spans="12:12" x14ac:dyDescent="0.2">
      <c r="L3087" t="str">
        <f t="shared" si="49"/>
        <v/>
      </c>
    </row>
    <row r="3088" spans="12:12" x14ac:dyDescent="0.2">
      <c r="L3088" t="str">
        <f t="shared" si="49"/>
        <v/>
      </c>
    </row>
    <row r="3089" spans="12:12" x14ac:dyDescent="0.2">
      <c r="L3089" t="str">
        <f t="shared" si="49"/>
        <v/>
      </c>
    </row>
    <row r="3090" spans="12:12" x14ac:dyDescent="0.2">
      <c r="L3090" t="str">
        <f t="shared" si="49"/>
        <v/>
      </c>
    </row>
    <row r="3091" spans="12:12" x14ac:dyDescent="0.2">
      <c r="L3091" t="str">
        <f t="shared" si="49"/>
        <v/>
      </c>
    </row>
    <row r="3092" spans="12:12" x14ac:dyDescent="0.2">
      <c r="L3092" t="str">
        <f t="shared" si="49"/>
        <v/>
      </c>
    </row>
    <row r="3093" spans="12:12" x14ac:dyDescent="0.2">
      <c r="L3093" t="str">
        <f t="shared" si="49"/>
        <v/>
      </c>
    </row>
    <row r="3094" spans="12:12" x14ac:dyDescent="0.2">
      <c r="L3094" t="str">
        <f t="shared" si="49"/>
        <v/>
      </c>
    </row>
    <row r="3095" spans="12:12" x14ac:dyDescent="0.2">
      <c r="L3095" t="str">
        <f t="shared" si="49"/>
        <v/>
      </c>
    </row>
    <row r="3096" spans="12:12" x14ac:dyDescent="0.2">
      <c r="L3096" t="str">
        <f t="shared" si="49"/>
        <v/>
      </c>
    </row>
    <row r="3097" spans="12:12" x14ac:dyDescent="0.2">
      <c r="L3097" t="str">
        <f t="shared" si="49"/>
        <v/>
      </c>
    </row>
    <row r="3098" spans="12:12" x14ac:dyDescent="0.2">
      <c r="L3098" t="str">
        <f t="shared" si="49"/>
        <v/>
      </c>
    </row>
    <row r="3099" spans="12:12" x14ac:dyDescent="0.2">
      <c r="L3099" t="str">
        <f t="shared" si="49"/>
        <v/>
      </c>
    </row>
    <row r="3100" spans="12:12" x14ac:dyDescent="0.2">
      <c r="L3100" t="str">
        <f t="shared" si="49"/>
        <v/>
      </c>
    </row>
    <row r="3101" spans="12:12" x14ac:dyDescent="0.2">
      <c r="L3101" t="str">
        <f t="shared" si="49"/>
        <v/>
      </c>
    </row>
    <row r="3102" spans="12:12" x14ac:dyDescent="0.2">
      <c r="L3102" t="str">
        <f t="shared" si="49"/>
        <v/>
      </c>
    </row>
    <row r="3103" spans="12:12" x14ac:dyDescent="0.2">
      <c r="L3103" t="str">
        <f t="shared" si="49"/>
        <v/>
      </c>
    </row>
    <row r="3104" spans="12:12" x14ac:dyDescent="0.2">
      <c r="L3104" t="str">
        <f t="shared" si="49"/>
        <v/>
      </c>
    </row>
    <row r="3105" spans="12:12" x14ac:dyDescent="0.2">
      <c r="L3105" t="str">
        <f t="shared" si="49"/>
        <v/>
      </c>
    </row>
    <row r="3106" spans="12:12" x14ac:dyDescent="0.2">
      <c r="L3106" t="str">
        <f t="shared" si="49"/>
        <v/>
      </c>
    </row>
    <row r="3107" spans="12:12" x14ac:dyDescent="0.2">
      <c r="L3107" t="str">
        <f t="shared" si="49"/>
        <v/>
      </c>
    </row>
    <row r="3108" spans="12:12" x14ac:dyDescent="0.2">
      <c r="L3108" t="str">
        <f t="shared" si="49"/>
        <v/>
      </c>
    </row>
    <row r="3109" spans="12:12" x14ac:dyDescent="0.2">
      <c r="L3109" t="str">
        <f t="shared" si="49"/>
        <v/>
      </c>
    </row>
    <row r="3110" spans="12:12" x14ac:dyDescent="0.2">
      <c r="L3110" t="str">
        <f t="shared" si="49"/>
        <v/>
      </c>
    </row>
    <row r="3111" spans="12:12" x14ac:dyDescent="0.2">
      <c r="L3111" t="str">
        <f t="shared" si="49"/>
        <v/>
      </c>
    </row>
    <row r="3112" spans="12:12" x14ac:dyDescent="0.2">
      <c r="L3112" t="str">
        <f t="shared" si="49"/>
        <v/>
      </c>
    </row>
    <row r="3113" spans="12:12" x14ac:dyDescent="0.2">
      <c r="L3113" t="str">
        <f t="shared" si="49"/>
        <v/>
      </c>
    </row>
    <row r="3114" spans="12:12" x14ac:dyDescent="0.2">
      <c r="L3114" t="str">
        <f t="shared" si="49"/>
        <v/>
      </c>
    </row>
    <row r="3115" spans="12:12" x14ac:dyDescent="0.2">
      <c r="L3115" t="str">
        <f t="shared" si="49"/>
        <v/>
      </c>
    </row>
    <row r="3116" spans="12:12" x14ac:dyDescent="0.2">
      <c r="L3116" t="str">
        <f t="shared" si="49"/>
        <v/>
      </c>
    </row>
    <row r="3117" spans="12:12" x14ac:dyDescent="0.2">
      <c r="L3117" t="str">
        <f t="shared" si="49"/>
        <v/>
      </c>
    </row>
    <row r="3118" spans="12:12" x14ac:dyDescent="0.2">
      <c r="L3118" t="str">
        <f t="shared" si="49"/>
        <v/>
      </c>
    </row>
    <row r="3119" spans="12:12" x14ac:dyDescent="0.2">
      <c r="L3119" t="str">
        <f t="shared" si="49"/>
        <v/>
      </c>
    </row>
    <row r="3120" spans="12:12" x14ac:dyDescent="0.2">
      <c r="L3120" t="str">
        <f t="shared" si="49"/>
        <v/>
      </c>
    </row>
    <row r="3121" spans="12:12" x14ac:dyDescent="0.2">
      <c r="L3121" t="str">
        <f t="shared" si="49"/>
        <v/>
      </c>
    </row>
    <row r="3122" spans="12:12" x14ac:dyDescent="0.2">
      <c r="L3122" t="str">
        <f t="shared" si="49"/>
        <v/>
      </c>
    </row>
    <row r="3123" spans="12:12" x14ac:dyDescent="0.2">
      <c r="L3123" t="str">
        <f t="shared" si="49"/>
        <v/>
      </c>
    </row>
    <row r="3124" spans="12:12" x14ac:dyDescent="0.2">
      <c r="L3124" t="str">
        <f t="shared" si="49"/>
        <v/>
      </c>
    </row>
    <row r="3125" spans="12:12" x14ac:dyDescent="0.2">
      <c r="L3125" t="str">
        <f t="shared" si="49"/>
        <v/>
      </c>
    </row>
    <row r="3126" spans="12:12" x14ac:dyDescent="0.2">
      <c r="L3126" t="str">
        <f t="shared" si="49"/>
        <v/>
      </c>
    </row>
    <row r="3127" spans="12:12" x14ac:dyDescent="0.2">
      <c r="L3127" t="str">
        <f t="shared" si="49"/>
        <v/>
      </c>
    </row>
    <row r="3128" spans="12:12" x14ac:dyDescent="0.2">
      <c r="L3128" t="str">
        <f t="shared" si="49"/>
        <v/>
      </c>
    </row>
    <row r="3129" spans="12:12" x14ac:dyDescent="0.2">
      <c r="L3129" t="str">
        <f t="shared" si="49"/>
        <v/>
      </c>
    </row>
    <row r="3130" spans="12:12" x14ac:dyDescent="0.2">
      <c r="L3130" t="str">
        <f t="shared" si="49"/>
        <v/>
      </c>
    </row>
    <row r="3131" spans="12:12" x14ac:dyDescent="0.2">
      <c r="L3131" t="str">
        <f t="shared" si="49"/>
        <v/>
      </c>
    </row>
    <row r="3132" spans="12:12" x14ac:dyDescent="0.2">
      <c r="L3132" t="str">
        <f t="shared" si="49"/>
        <v/>
      </c>
    </row>
    <row r="3133" spans="12:12" x14ac:dyDescent="0.2">
      <c r="L3133" t="str">
        <f t="shared" si="49"/>
        <v/>
      </c>
    </row>
    <row r="3134" spans="12:12" x14ac:dyDescent="0.2">
      <c r="L3134" t="str">
        <f t="shared" si="49"/>
        <v/>
      </c>
    </row>
    <row r="3135" spans="12:12" x14ac:dyDescent="0.2">
      <c r="L3135" t="str">
        <f t="shared" si="49"/>
        <v/>
      </c>
    </row>
    <row r="3136" spans="12:12" x14ac:dyDescent="0.2">
      <c r="L3136" t="str">
        <f t="shared" si="49"/>
        <v/>
      </c>
    </row>
    <row r="3137" spans="12:12" x14ac:dyDescent="0.2">
      <c r="L3137" t="str">
        <f t="shared" si="49"/>
        <v/>
      </c>
    </row>
    <row r="3138" spans="12:12" x14ac:dyDescent="0.2">
      <c r="L3138" t="str">
        <f t="shared" si="49"/>
        <v/>
      </c>
    </row>
    <row r="3139" spans="12:12" x14ac:dyDescent="0.2">
      <c r="L3139" t="str">
        <f t="shared" si="49"/>
        <v/>
      </c>
    </row>
    <row r="3140" spans="12:12" x14ac:dyDescent="0.2">
      <c r="L3140" t="str">
        <f t="shared" ref="L3140:L3203" si="50">IF(L3139&lt;$I$15,L3139+$I$16,"")</f>
        <v/>
      </c>
    </row>
    <row r="3141" spans="12:12" x14ac:dyDescent="0.2">
      <c r="L3141" t="str">
        <f t="shared" si="50"/>
        <v/>
      </c>
    </row>
    <row r="3142" spans="12:12" x14ac:dyDescent="0.2">
      <c r="L3142" t="str">
        <f t="shared" si="50"/>
        <v/>
      </c>
    </row>
    <row r="3143" spans="12:12" x14ac:dyDescent="0.2">
      <c r="L3143" t="str">
        <f t="shared" si="50"/>
        <v/>
      </c>
    </row>
    <row r="3144" spans="12:12" x14ac:dyDescent="0.2">
      <c r="L3144" t="str">
        <f t="shared" si="50"/>
        <v/>
      </c>
    </row>
    <row r="3145" spans="12:12" x14ac:dyDescent="0.2">
      <c r="L3145" t="str">
        <f t="shared" si="50"/>
        <v/>
      </c>
    </row>
    <row r="3146" spans="12:12" x14ac:dyDescent="0.2">
      <c r="L3146" t="str">
        <f t="shared" si="50"/>
        <v/>
      </c>
    </row>
    <row r="3147" spans="12:12" x14ac:dyDescent="0.2">
      <c r="L3147" t="str">
        <f t="shared" si="50"/>
        <v/>
      </c>
    </row>
    <row r="3148" spans="12:12" x14ac:dyDescent="0.2">
      <c r="L3148" t="str">
        <f t="shared" si="50"/>
        <v/>
      </c>
    </row>
    <row r="3149" spans="12:12" x14ac:dyDescent="0.2">
      <c r="L3149" t="str">
        <f t="shared" si="50"/>
        <v/>
      </c>
    </row>
    <row r="3150" spans="12:12" x14ac:dyDescent="0.2">
      <c r="L3150" t="str">
        <f t="shared" si="50"/>
        <v/>
      </c>
    </row>
    <row r="3151" spans="12:12" x14ac:dyDescent="0.2">
      <c r="L3151" t="str">
        <f t="shared" si="50"/>
        <v/>
      </c>
    </row>
    <row r="3152" spans="12:12" x14ac:dyDescent="0.2">
      <c r="L3152" t="str">
        <f t="shared" si="50"/>
        <v/>
      </c>
    </row>
    <row r="3153" spans="12:12" x14ac:dyDescent="0.2">
      <c r="L3153" t="str">
        <f t="shared" si="50"/>
        <v/>
      </c>
    </row>
    <row r="3154" spans="12:12" x14ac:dyDescent="0.2">
      <c r="L3154" t="str">
        <f t="shared" si="50"/>
        <v/>
      </c>
    </row>
    <row r="3155" spans="12:12" x14ac:dyDescent="0.2">
      <c r="L3155" t="str">
        <f t="shared" si="50"/>
        <v/>
      </c>
    </row>
    <row r="3156" spans="12:12" x14ac:dyDescent="0.2">
      <c r="L3156" t="str">
        <f t="shared" si="50"/>
        <v/>
      </c>
    </row>
    <row r="3157" spans="12:12" x14ac:dyDescent="0.2">
      <c r="L3157" t="str">
        <f t="shared" si="50"/>
        <v/>
      </c>
    </row>
    <row r="3158" spans="12:12" x14ac:dyDescent="0.2">
      <c r="L3158" t="str">
        <f t="shared" si="50"/>
        <v/>
      </c>
    </row>
    <row r="3159" spans="12:12" x14ac:dyDescent="0.2">
      <c r="L3159" t="str">
        <f t="shared" si="50"/>
        <v/>
      </c>
    </row>
    <row r="3160" spans="12:12" x14ac:dyDescent="0.2">
      <c r="L3160" t="str">
        <f t="shared" si="50"/>
        <v/>
      </c>
    </row>
    <row r="3161" spans="12:12" x14ac:dyDescent="0.2">
      <c r="L3161" t="str">
        <f t="shared" si="50"/>
        <v/>
      </c>
    </row>
    <row r="3162" spans="12:12" x14ac:dyDescent="0.2">
      <c r="L3162" t="str">
        <f t="shared" si="50"/>
        <v/>
      </c>
    </row>
    <row r="3163" spans="12:12" x14ac:dyDescent="0.2">
      <c r="L3163" t="str">
        <f t="shared" si="50"/>
        <v/>
      </c>
    </row>
    <row r="3164" spans="12:12" x14ac:dyDescent="0.2">
      <c r="L3164" t="str">
        <f t="shared" si="50"/>
        <v/>
      </c>
    </row>
    <row r="3165" spans="12:12" x14ac:dyDescent="0.2">
      <c r="L3165" t="str">
        <f t="shared" si="50"/>
        <v/>
      </c>
    </row>
    <row r="3166" spans="12:12" x14ac:dyDescent="0.2">
      <c r="L3166" t="str">
        <f t="shared" si="50"/>
        <v/>
      </c>
    </row>
    <row r="3167" spans="12:12" x14ac:dyDescent="0.2">
      <c r="L3167" t="str">
        <f t="shared" si="50"/>
        <v/>
      </c>
    </row>
    <row r="3168" spans="12:12" x14ac:dyDescent="0.2">
      <c r="L3168" t="str">
        <f t="shared" si="50"/>
        <v/>
      </c>
    </row>
    <row r="3169" spans="12:12" x14ac:dyDescent="0.2">
      <c r="L3169" t="str">
        <f t="shared" si="50"/>
        <v/>
      </c>
    </row>
    <row r="3170" spans="12:12" x14ac:dyDescent="0.2">
      <c r="L3170" t="str">
        <f t="shared" si="50"/>
        <v/>
      </c>
    </row>
    <row r="3171" spans="12:12" x14ac:dyDescent="0.2">
      <c r="L3171" t="str">
        <f t="shared" si="50"/>
        <v/>
      </c>
    </row>
    <row r="3172" spans="12:12" x14ac:dyDescent="0.2">
      <c r="L3172" t="str">
        <f t="shared" si="50"/>
        <v/>
      </c>
    </row>
    <row r="3173" spans="12:12" x14ac:dyDescent="0.2">
      <c r="L3173" t="str">
        <f t="shared" si="50"/>
        <v/>
      </c>
    </row>
    <row r="3174" spans="12:12" x14ac:dyDescent="0.2">
      <c r="L3174" t="str">
        <f t="shared" si="50"/>
        <v/>
      </c>
    </row>
    <row r="3175" spans="12:12" x14ac:dyDescent="0.2">
      <c r="L3175" t="str">
        <f t="shared" si="50"/>
        <v/>
      </c>
    </row>
    <row r="3176" spans="12:12" x14ac:dyDescent="0.2">
      <c r="L3176" t="str">
        <f t="shared" si="50"/>
        <v/>
      </c>
    </row>
    <row r="3177" spans="12:12" x14ac:dyDescent="0.2">
      <c r="L3177" t="str">
        <f t="shared" si="50"/>
        <v/>
      </c>
    </row>
    <row r="3178" spans="12:12" x14ac:dyDescent="0.2">
      <c r="L3178" t="str">
        <f t="shared" si="50"/>
        <v/>
      </c>
    </row>
    <row r="3179" spans="12:12" x14ac:dyDescent="0.2">
      <c r="L3179" t="str">
        <f t="shared" si="50"/>
        <v/>
      </c>
    </row>
    <row r="3180" spans="12:12" x14ac:dyDescent="0.2">
      <c r="L3180" t="str">
        <f t="shared" si="50"/>
        <v/>
      </c>
    </row>
    <row r="3181" spans="12:12" x14ac:dyDescent="0.2">
      <c r="L3181" t="str">
        <f t="shared" si="50"/>
        <v/>
      </c>
    </row>
    <row r="3182" spans="12:12" x14ac:dyDescent="0.2">
      <c r="L3182" t="str">
        <f t="shared" si="50"/>
        <v/>
      </c>
    </row>
    <row r="3183" spans="12:12" x14ac:dyDescent="0.2">
      <c r="L3183" t="str">
        <f t="shared" si="50"/>
        <v/>
      </c>
    </row>
    <row r="3184" spans="12:12" x14ac:dyDescent="0.2">
      <c r="L3184" t="str">
        <f t="shared" si="50"/>
        <v/>
      </c>
    </row>
    <row r="3185" spans="12:12" x14ac:dyDescent="0.2">
      <c r="L3185" t="str">
        <f t="shared" si="50"/>
        <v/>
      </c>
    </row>
    <row r="3186" spans="12:12" x14ac:dyDescent="0.2">
      <c r="L3186" t="str">
        <f t="shared" si="50"/>
        <v/>
      </c>
    </row>
    <row r="3187" spans="12:12" x14ac:dyDescent="0.2">
      <c r="L3187" t="str">
        <f t="shared" si="50"/>
        <v/>
      </c>
    </row>
    <row r="3188" spans="12:12" x14ac:dyDescent="0.2">
      <c r="L3188" t="str">
        <f t="shared" si="50"/>
        <v/>
      </c>
    </row>
    <row r="3189" spans="12:12" x14ac:dyDescent="0.2">
      <c r="L3189" t="str">
        <f t="shared" si="50"/>
        <v/>
      </c>
    </row>
    <row r="3190" spans="12:12" x14ac:dyDescent="0.2">
      <c r="L3190" t="str">
        <f t="shared" si="50"/>
        <v/>
      </c>
    </row>
    <row r="3191" spans="12:12" x14ac:dyDescent="0.2">
      <c r="L3191" t="str">
        <f t="shared" si="50"/>
        <v/>
      </c>
    </row>
    <row r="3192" spans="12:12" x14ac:dyDescent="0.2">
      <c r="L3192" t="str">
        <f t="shared" si="50"/>
        <v/>
      </c>
    </row>
    <row r="3193" spans="12:12" x14ac:dyDescent="0.2">
      <c r="L3193" t="str">
        <f t="shared" si="50"/>
        <v/>
      </c>
    </row>
    <row r="3194" spans="12:12" x14ac:dyDescent="0.2">
      <c r="L3194" t="str">
        <f t="shared" si="50"/>
        <v/>
      </c>
    </row>
    <row r="3195" spans="12:12" x14ac:dyDescent="0.2">
      <c r="L3195" t="str">
        <f t="shared" si="50"/>
        <v/>
      </c>
    </row>
    <row r="3196" spans="12:12" x14ac:dyDescent="0.2">
      <c r="L3196" t="str">
        <f t="shared" si="50"/>
        <v/>
      </c>
    </row>
    <row r="3197" spans="12:12" x14ac:dyDescent="0.2">
      <c r="L3197" t="str">
        <f t="shared" si="50"/>
        <v/>
      </c>
    </row>
    <row r="3198" spans="12:12" x14ac:dyDescent="0.2">
      <c r="L3198" t="str">
        <f t="shared" si="50"/>
        <v/>
      </c>
    </row>
    <row r="3199" spans="12:12" x14ac:dyDescent="0.2">
      <c r="L3199" t="str">
        <f t="shared" si="50"/>
        <v/>
      </c>
    </row>
    <row r="3200" spans="12:12" x14ac:dyDescent="0.2">
      <c r="L3200" t="str">
        <f t="shared" si="50"/>
        <v/>
      </c>
    </row>
    <row r="3201" spans="12:12" x14ac:dyDescent="0.2">
      <c r="L3201" t="str">
        <f t="shared" si="50"/>
        <v/>
      </c>
    </row>
    <row r="3202" spans="12:12" x14ac:dyDescent="0.2">
      <c r="L3202" t="str">
        <f t="shared" si="50"/>
        <v/>
      </c>
    </row>
    <row r="3203" spans="12:12" x14ac:dyDescent="0.2">
      <c r="L3203" t="str">
        <f t="shared" si="50"/>
        <v/>
      </c>
    </row>
    <row r="3204" spans="12:12" x14ac:dyDescent="0.2">
      <c r="L3204" t="str">
        <f t="shared" ref="L3204:L3267" si="51">IF(L3203&lt;$I$15,L3203+$I$16,"")</f>
        <v/>
      </c>
    </row>
    <row r="3205" spans="12:12" x14ac:dyDescent="0.2">
      <c r="L3205" t="str">
        <f t="shared" si="51"/>
        <v/>
      </c>
    </row>
    <row r="3206" spans="12:12" x14ac:dyDescent="0.2">
      <c r="L3206" t="str">
        <f t="shared" si="51"/>
        <v/>
      </c>
    </row>
    <row r="3207" spans="12:12" x14ac:dyDescent="0.2">
      <c r="L3207" t="str">
        <f t="shared" si="51"/>
        <v/>
      </c>
    </row>
    <row r="3208" spans="12:12" x14ac:dyDescent="0.2">
      <c r="L3208" t="str">
        <f t="shared" si="51"/>
        <v/>
      </c>
    </row>
    <row r="3209" spans="12:12" x14ac:dyDescent="0.2">
      <c r="L3209" t="str">
        <f t="shared" si="51"/>
        <v/>
      </c>
    </row>
    <row r="3210" spans="12:12" x14ac:dyDescent="0.2">
      <c r="L3210" t="str">
        <f t="shared" si="51"/>
        <v/>
      </c>
    </row>
    <row r="3211" spans="12:12" x14ac:dyDescent="0.2">
      <c r="L3211" t="str">
        <f t="shared" si="51"/>
        <v/>
      </c>
    </row>
    <row r="3212" spans="12:12" x14ac:dyDescent="0.2">
      <c r="L3212" t="str">
        <f t="shared" si="51"/>
        <v/>
      </c>
    </row>
    <row r="3213" spans="12:12" x14ac:dyDescent="0.2">
      <c r="L3213" t="str">
        <f t="shared" si="51"/>
        <v/>
      </c>
    </row>
    <row r="3214" spans="12:12" x14ac:dyDescent="0.2">
      <c r="L3214" t="str">
        <f t="shared" si="51"/>
        <v/>
      </c>
    </row>
    <row r="3215" spans="12:12" x14ac:dyDescent="0.2">
      <c r="L3215" t="str">
        <f t="shared" si="51"/>
        <v/>
      </c>
    </row>
    <row r="3216" spans="12:12" x14ac:dyDescent="0.2">
      <c r="L3216" t="str">
        <f t="shared" si="51"/>
        <v/>
      </c>
    </row>
    <row r="3217" spans="12:12" x14ac:dyDescent="0.2">
      <c r="L3217" t="str">
        <f t="shared" si="51"/>
        <v/>
      </c>
    </row>
    <row r="3218" spans="12:12" x14ac:dyDescent="0.2">
      <c r="L3218" t="str">
        <f t="shared" si="51"/>
        <v/>
      </c>
    </row>
    <row r="3219" spans="12:12" x14ac:dyDescent="0.2">
      <c r="L3219" t="str">
        <f t="shared" si="51"/>
        <v/>
      </c>
    </row>
    <row r="3220" spans="12:12" x14ac:dyDescent="0.2">
      <c r="L3220" t="str">
        <f t="shared" si="51"/>
        <v/>
      </c>
    </row>
    <row r="3221" spans="12:12" x14ac:dyDescent="0.2">
      <c r="L3221" t="str">
        <f t="shared" si="51"/>
        <v/>
      </c>
    </row>
    <row r="3222" spans="12:12" x14ac:dyDescent="0.2">
      <c r="L3222" t="str">
        <f t="shared" si="51"/>
        <v/>
      </c>
    </row>
    <row r="3223" spans="12:12" x14ac:dyDescent="0.2">
      <c r="L3223" t="str">
        <f t="shared" si="51"/>
        <v/>
      </c>
    </row>
    <row r="3224" spans="12:12" x14ac:dyDescent="0.2">
      <c r="L3224" t="str">
        <f t="shared" si="51"/>
        <v/>
      </c>
    </row>
    <row r="3225" spans="12:12" x14ac:dyDescent="0.2">
      <c r="L3225" t="str">
        <f t="shared" si="51"/>
        <v/>
      </c>
    </row>
    <row r="3226" spans="12:12" x14ac:dyDescent="0.2">
      <c r="L3226" t="str">
        <f t="shared" si="51"/>
        <v/>
      </c>
    </row>
    <row r="3227" spans="12:12" x14ac:dyDescent="0.2">
      <c r="L3227" t="str">
        <f t="shared" si="51"/>
        <v/>
      </c>
    </row>
    <row r="3228" spans="12:12" x14ac:dyDescent="0.2">
      <c r="L3228" t="str">
        <f t="shared" si="51"/>
        <v/>
      </c>
    </row>
    <row r="3229" spans="12:12" x14ac:dyDescent="0.2">
      <c r="L3229" t="str">
        <f t="shared" si="51"/>
        <v/>
      </c>
    </row>
    <row r="3230" spans="12:12" x14ac:dyDescent="0.2">
      <c r="L3230" t="str">
        <f t="shared" si="51"/>
        <v/>
      </c>
    </row>
    <row r="3231" spans="12:12" x14ac:dyDescent="0.2">
      <c r="L3231" t="str">
        <f t="shared" si="51"/>
        <v/>
      </c>
    </row>
    <row r="3232" spans="12:12" x14ac:dyDescent="0.2">
      <c r="L3232" t="str">
        <f t="shared" si="51"/>
        <v/>
      </c>
    </row>
    <row r="3233" spans="12:12" x14ac:dyDescent="0.2">
      <c r="L3233" t="str">
        <f t="shared" si="51"/>
        <v/>
      </c>
    </row>
    <row r="3234" spans="12:12" x14ac:dyDescent="0.2">
      <c r="L3234" t="str">
        <f t="shared" si="51"/>
        <v/>
      </c>
    </row>
    <row r="3235" spans="12:12" x14ac:dyDescent="0.2">
      <c r="L3235" t="str">
        <f t="shared" si="51"/>
        <v/>
      </c>
    </row>
    <row r="3236" spans="12:12" x14ac:dyDescent="0.2">
      <c r="L3236" t="str">
        <f t="shared" si="51"/>
        <v/>
      </c>
    </row>
    <row r="3237" spans="12:12" x14ac:dyDescent="0.2">
      <c r="L3237" t="str">
        <f t="shared" si="51"/>
        <v/>
      </c>
    </row>
    <row r="3238" spans="12:12" x14ac:dyDescent="0.2">
      <c r="L3238" t="str">
        <f t="shared" si="51"/>
        <v/>
      </c>
    </row>
    <row r="3239" spans="12:12" x14ac:dyDescent="0.2">
      <c r="L3239" t="str">
        <f t="shared" si="51"/>
        <v/>
      </c>
    </row>
    <row r="3240" spans="12:12" x14ac:dyDescent="0.2">
      <c r="L3240" t="str">
        <f t="shared" si="51"/>
        <v/>
      </c>
    </row>
    <row r="3241" spans="12:12" x14ac:dyDescent="0.2">
      <c r="L3241" t="str">
        <f t="shared" si="51"/>
        <v/>
      </c>
    </row>
    <row r="3242" spans="12:12" x14ac:dyDescent="0.2">
      <c r="L3242" t="str">
        <f t="shared" si="51"/>
        <v/>
      </c>
    </row>
    <row r="3243" spans="12:12" x14ac:dyDescent="0.2">
      <c r="L3243" t="str">
        <f t="shared" si="51"/>
        <v/>
      </c>
    </row>
    <row r="3244" spans="12:12" x14ac:dyDescent="0.2">
      <c r="L3244" t="str">
        <f t="shared" si="51"/>
        <v/>
      </c>
    </row>
    <row r="3245" spans="12:12" x14ac:dyDescent="0.2">
      <c r="L3245" t="str">
        <f t="shared" si="51"/>
        <v/>
      </c>
    </row>
    <row r="3246" spans="12:12" x14ac:dyDescent="0.2">
      <c r="L3246" t="str">
        <f t="shared" si="51"/>
        <v/>
      </c>
    </row>
    <row r="3247" spans="12:12" x14ac:dyDescent="0.2">
      <c r="L3247" t="str">
        <f t="shared" si="51"/>
        <v/>
      </c>
    </row>
    <row r="3248" spans="12:12" x14ac:dyDescent="0.2">
      <c r="L3248" t="str">
        <f t="shared" si="51"/>
        <v/>
      </c>
    </row>
    <row r="3249" spans="12:12" x14ac:dyDescent="0.2">
      <c r="L3249" t="str">
        <f t="shared" si="51"/>
        <v/>
      </c>
    </row>
    <row r="3250" spans="12:12" x14ac:dyDescent="0.2">
      <c r="L3250" t="str">
        <f t="shared" si="51"/>
        <v/>
      </c>
    </row>
    <row r="3251" spans="12:12" x14ac:dyDescent="0.2">
      <c r="L3251" t="str">
        <f t="shared" si="51"/>
        <v/>
      </c>
    </row>
    <row r="3252" spans="12:12" x14ac:dyDescent="0.2">
      <c r="L3252" t="str">
        <f t="shared" si="51"/>
        <v/>
      </c>
    </row>
    <row r="3253" spans="12:12" x14ac:dyDescent="0.2">
      <c r="L3253" t="str">
        <f t="shared" si="51"/>
        <v/>
      </c>
    </row>
    <row r="3254" spans="12:12" x14ac:dyDescent="0.2">
      <c r="L3254" t="str">
        <f t="shared" si="51"/>
        <v/>
      </c>
    </row>
    <row r="3255" spans="12:12" x14ac:dyDescent="0.2">
      <c r="L3255" t="str">
        <f t="shared" si="51"/>
        <v/>
      </c>
    </row>
    <row r="3256" spans="12:12" x14ac:dyDescent="0.2">
      <c r="L3256" t="str">
        <f t="shared" si="51"/>
        <v/>
      </c>
    </row>
    <row r="3257" spans="12:12" x14ac:dyDescent="0.2">
      <c r="L3257" t="str">
        <f t="shared" si="51"/>
        <v/>
      </c>
    </row>
    <row r="3258" spans="12:12" x14ac:dyDescent="0.2">
      <c r="L3258" t="str">
        <f t="shared" si="51"/>
        <v/>
      </c>
    </row>
    <row r="3259" spans="12:12" x14ac:dyDescent="0.2">
      <c r="L3259" t="str">
        <f t="shared" si="51"/>
        <v/>
      </c>
    </row>
    <row r="3260" spans="12:12" x14ac:dyDescent="0.2">
      <c r="L3260" t="str">
        <f t="shared" si="51"/>
        <v/>
      </c>
    </row>
    <row r="3261" spans="12:12" x14ac:dyDescent="0.2">
      <c r="L3261" t="str">
        <f t="shared" si="51"/>
        <v/>
      </c>
    </row>
    <row r="3262" spans="12:12" x14ac:dyDescent="0.2">
      <c r="L3262" t="str">
        <f t="shared" si="51"/>
        <v/>
      </c>
    </row>
    <row r="3263" spans="12:12" x14ac:dyDescent="0.2">
      <c r="L3263" t="str">
        <f t="shared" si="51"/>
        <v/>
      </c>
    </row>
    <row r="3264" spans="12:12" x14ac:dyDescent="0.2">
      <c r="L3264" t="str">
        <f t="shared" si="51"/>
        <v/>
      </c>
    </row>
    <row r="3265" spans="12:12" x14ac:dyDescent="0.2">
      <c r="L3265" t="str">
        <f t="shared" si="51"/>
        <v/>
      </c>
    </row>
    <row r="3266" spans="12:12" x14ac:dyDescent="0.2">
      <c r="L3266" t="str">
        <f t="shared" si="51"/>
        <v/>
      </c>
    </row>
    <row r="3267" spans="12:12" x14ac:dyDescent="0.2">
      <c r="L3267" t="str">
        <f t="shared" si="51"/>
        <v/>
      </c>
    </row>
    <row r="3268" spans="12:12" x14ac:dyDescent="0.2">
      <c r="L3268" t="str">
        <f t="shared" ref="L3268:L3331" si="52">IF(L3267&lt;$I$15,L3267+$I$16,"")</f>
        <v/>
      </c>
    </row>
    <row r="3269" spans="12:12" x14ac:dyDescent="0.2">
      <c r="L3269" t="str">
        <f t="shared" si="52"/>
        <v/>
      </c>
    </row>
    <row r="3270" spans="12:12" x14ac:dyDescent="0.2">
      <c r="L3270" t="str">
        <f t="shared" si="52"/>
        <v/>
      </c>
    </row>
    <row r="3271" spans="12:12" x14ac:dyDescent="0.2">
      <c r="L3271" t="str">
        <f t="shared" si="52"/>
        <v/>
      </c>
    </row>
    <row r="3272" spans="12:12" x14ac:dyDescent="0.2">
      <c r="L3272" t="str">
        <f t="shared" si="52"/>
        <v/>
      </c>
    </row>
    <row r="3273" spans="12:12" x14ac:dyDescent="0.2">
      <c r="L3273" t="str">
        <f t="shared" si="52"/>
        <v/>
      </c>
    </row>
    <row r="3274" spans="12:12" x14ac:dyDescent="0.2">
      <c r="L3274" t="str">
        <f t="shared" si="52"/>
        <v/>
      </c>
    </row>
    <row r="3275" spans="12:12" x14ac:dyDescent="0.2">
      <c r="L3275" t="str">
        <f t="shared" si="52"/>
        <v/>
      </c>
    </row>
    <row r="3276" spans="12:12" x14ac:dyDescent="0.2">
      <c r="L3276" t="str">
        <f t="shared" si="52"/>
        <v/>
      </c>
    </row>
    <row r="3277" spans="12:12" x14ac:dyDescent="0.2">
      <c r="L3277" t="str">
        <f t="shared" si="52"/>
        <v/>
      </c>
    </row>
    <row r="3278" spans="12:12" x14ac:dyDescent="0.2">
      <c r="L3278" t="str">
        <f t="shared" si="52"/>
        <v/>
      </c>
    </row>
    <row r="3279" spans="12:12" x14ac:dyDescent="0.2">
      <c r="L3279" t="str">
        <f t="shared" si="52"/>
        <v/>
      </c>
    </row>
    <row r="3280" spans="12:12" x14ac:dyDescent="0.2">
      <c r="L3280" t="str">
        <f t="shared" si="52"/>
        <v/>
      </c>
    </row>
    <row r="3281" spans="12:12" x14ac:dyDescent="0.2">
      <c r="L3281" t="str">
        <f t="shared" si="52"/>
        <v/>
      </c>
    </row>
    <row r="3282" spans="12:12" x14ac:dyDescent="0.2">
      <c r="L3282" t="str">
        <f t="shared" si="52"/>
        <v/>
      </c>
    </row>
    <row r="3283" spans="12:12" x14ac:dyDescent="0.2">
      <c r="L3283" t="str">
        <f t="shared" si="52"/>
        <v/>
      </c>
    </row>
    <row r="3284" spans="12:12" x14ac:dyDescent="0.2">
      <c r="L3284" t="str">
        <f t="shared" si="52"/>
        <v/>
      </c>
    </row>
    <row r="3285" spans="12:12" x14ac:dyDescent="0.2">
      <c r="L3285" t="str">
        <f t="shared" si="52"/>
        <v/>
      </c>
    </row>
    <row r="3286" spans="12:12" x14ac:dyDescent="0.2">
      <c r="L3286" t="str">
        <f t="shared" si="52"/>
        <v/>
      </c>
    </row>
    <row r="3287" spans="12:12" x14ac:dyDescent="0.2">
      <c r="L3287" t="str">
        <f t="shared" si="52"/>
        <v/>
      </c>
    </row>
    <row r="3288" spans="12:12" x14ac:dyDescent="0.2">
      <c r="L3288" t="str">
        <f t="shared" si="52"/>
        <v/>
      </c>
    </row>
    <row r="3289" spans="12:12" x14ac:dyDescent="0.2">
      <c r="L3289" t="str">
        <f t="shared" si="52"/>
        <v/>
      </c>
    </row>
    <row r="3290" spans="12:12" x14ac:dyDescent="0.2">
      <c r="L3290" t="str">
        <f t="shared" si="52"/>
        <v/>
      </c>
    </row>
    <row r="3291" spans="12:12" x14ac:dyDescent="0.2">
      <c r="L3291" t="str">
        <f t="shared" si="52"/>
        <v/>
      </c>
    </row>
    <row r="3292" spans="12:12" x14ac:dyDescent="0.2">
      <c r="L3292" t="str">
        <f t="shared" si="52"/>
        <v/>
      </c>
    </row>
    <row r="3293" spans="12:12" x14ac:dyDescent="0.2">
      <c r="L3293" t="str">
        <f t="shared" si="52"/>
        <v/>
      </c>
    </row>
    <row r="3294" spans="12:12" x14ac:dyDescent="0.2">
      <c r="L3294" t="str">
        <f t="shared" si="52"/>
        <v/>
      </c>
    </row>
    <row r="3295" spans="12:12" x14ac:dyDescent="0.2">
      <c r="L3295" t="str">
        <f t="shared" si="52"/>
        <v/>
      </c>
    </row>
    <row r="3296" spans="12:12" x14ac:dyDescent="0.2">
      <c r="L3296" t="str">
        <f t="shared" si="52"/>
        <v/>
      </c>
    </row>
    <row r="3297" spans="12:12" x14ac:dyDescent="0.2">
      <c r="L3297" t="str">
        <f t="shared" si="52"/>
        <v/>
      </c>
    </row>
    <row r="3298" spans="12:12" x14ac:dyDescent="0.2">
      <c r="L3298" t="str">
        <f t="shared" si="52"/>
        <v/>
      </c>
    </row>
    <row r="3299" spans="12:12" x14ac:dyDescent="0.2">
      <c r="L3299" t="str">
        <f t="shared" si="52"/>
        <v/>
      </c>
    </row>
    <row r="3300" spans="12:12" x14ac:dyDescent="0.2">
      <c r="L3300" t="str">
        <f t="shared" si="52"/>
        <v/>
      </c>
    </row>
    <row r="3301" spans="12:12" x14ac:dyDescent="0.2">
      <c r="L3301" t="str">
        <f t="shared" si="52"/>
        <v/>
      </c>
    </row>
    <row r="3302" spans="12:12" x14ac:dyDescent="0.2">
      <c r="L3302" t="str">
        <f t="shared" si="52"/>
        <v/>
      </c>
    </row>
    <row r="3303" spans="12:12" x14ac:dyDescent="0.2">
      <c r="L3303" t="str">
        <f t="shared" si="52"/>
        <v/>
      </c>
    </row>
    <row r="3304" spans="12:12" x14ac:dyDescent="0.2">
      <c r="L3304" t="str">
        <f t="shared" si="52"/>
        <v/>
      </c>
    </row>
    <row r="3305" spans="12:12" x14ac:dyDescent="0.2">
      <c r="L3305" t="str">
        <f t="shared" si="52"/>
        <v/>
      </c>
    </row>
    <row r="3306" spans="12:12" x14ac:dyDescent="0.2">
      <c r="L3306" t="str">
        <f t="shared" si="52"/>
        <v/>
      </c>
    </row>
    <row r="3307" spans="12:12" x14ac:dyDescent="0.2">
      <c r="L3307" t="str">
        <f t="shared" si="52"/>
        <v/>
      </c>
    </row>
    <row r="3308" spans="12:12" x14ac:dyDescent="0.2">
      <c r="L3308" t="str">
        <f t="shared" si="52"/>
        <v/>
      </c>
    </row>
    <row r="3309" spans="12:12" x14ac:dyDescent="0.2">
      <c r="L3309" t="str">
        <f t="shared" si="52"/>
        <v/>
      </c>
    </row>
    <row r="3310" spans="12:12" x14ac:dyDescent="0.2">
      <c r="L3310" t="str">
        <f t="shared" si="52"/>
        <v/>
      </c>
    </row>
    <row r="3311" spans="12:12" x14ac:dyDescent="0.2">
      <c r="L3311" t="str">
        <f t="shared" si="52"/>
        <v/>
      </c>
    </row>
    <row r="3312" spans="12:12" x14ac:dyDescent="0.2">
      <c r="L3312" t="str">
        <f t="shared" si="52"/>
        <v/>
      </c>
    </row>
    <row r="3313" spans="12:12" x14ac:dyDescent="0.2">
      <c r="L3313" t="str">
        <f t="shared" si="52"/>
        <v/>
      </c>
    </row>
    <row r="3314" spans="12:12" x14ac:dyDescent="0.2">
      <c r="L3314" t="str">
        <f t="shared" si="52"/>
        <v/>
      </c>
    </row>
    <row r="3315" spans="12:12" x14ac:dyDescent="0.2">
      <c r="L3315" t="str">
        <f t="shared" si="52"/>
        <v/>
      </c>
    </row>
    <row r="3316" spans="12:12" x14ac:dyDescent="0.2">
      <c r="L3316" t="str">
        <f t="shared" si="52"/>
        <v/>
      </c>
    </row>
    <row r="3317" spans="12:12" x14ac:dyDescent="0.2">
      <c r="L3317" t="str">
        <f t="shared" si="52"/>
        <v/>
      </c>
    </row>
    <row r="3318" spans="12:12" x14ac:dyDescent="0.2">
      <c r="L3318" t="str">
        <f t="shared" si="52"/>
        <v/>
      </c>
    </row>
    <row r="3319" spans="12:12" x14ac:dyDescent="0.2">
      <c r="L3319" t="str">
        <f t="shared" si="52"/>
        <v/>
      </c>
    </row>
    <row r="3320" spans="12:12" x14ac:dyDescent="0.2">
      <c r="L3320" t="str">
        <f t="shared" si="52"/>
        <v/>
      </c>
    </row>
    <row r="3321" spans="12:12" x14ac:dyDescent="0.2">
      <c r="L3321" t="str">
        <f t="shared" si="52"/>
        <v/>
      </c>
    </row>
    <row r="3322" spans="12:12" x14ac:dyDescent="0.2">
      <c r="L3322" t="str">
        <f t="shared" si="52"/>
        <v/>
      </c>
    </row>
    <row r="3323" spans="12:12" x14ac:dyDescent="0.2">
      <c r="L3323" t="str">
        <f t="shared" si="52"/>
        <v/>
      </c>
    </row>
    <row r="3324" spans="12:12" x14ac:dyDescent="0.2">
      <c r="L3324" t="str">
        <f t="shared" si="52"/>
        <v/>
      </c>
    </row>
    <row r="3325" spans="12:12" x14ac:dyDescent="0.2">
      <c r="L3325" t="str">
        <f t="shared" si="52"/>
        <v/>
      </c>
    </row>
    <row r="3326" spans="12:12" x14ac:dyDescent="0.2">
      <c r="L3326" t="str">
        <f t="shared" si="52"/>
        <v/>
      </c>
    </row>
    <row r="3327" spans="12:12" x14ac:dyDescent="0.2">
      <c r="L3327" t="str">
        <f t="shared" si="52"/>
        <v/>
      </c>
    </row>
    <row r="3328" spans="12:12" x14ac:dyDescent="0.2">
      <c r="L3328" t="str">
        <f t="shared" si="52"/>
        <v/>
      </c>
    </row>
    <row r="3329" spans="12:12" x14ac:dyDescent="0.2">
      <c r="L3329" t="str">
        <f t="shared" si="52"/>
        <v/>
      </c>
    </row>
    <row r="3330" spans="12:12" x14ac:dyDescent="0.2">
      <c r="L3330" t="str">
        <f t="shared" si="52"/>
        <v/>
      </c>
    </row>
    <row r="3331" spans="12:12" x14ac:dyDescent="0.2">
      <c r="L3331" t="str">
        <f t="shared" si="52"/>
        <v/>
      </c>
    </row>
    <row r="3332" spans="12:12" x14ac:dyDescent="0.2">
      <c r="L3332" t="str">
        <f t="shared" ref="L3332:L3395" si="53">IF(L3331&lt;$I$15,L3331+$I$16,"")</f>
        <v/>
      </c>
    </row>
    <row r="3333" spans="12:12" x14ac:dyDescent="0.2">
      <c r="L3333" t="str">
        <f t="shared" si="53"/>
        <v/>
      </c>
    </row>
    <row r="3334" spans="12:12" x14ac:dyDescent="0.2">
      <c r="L3334" t="str">
        <f t="shared" si="53"/>
        <v/>
      </c>
    </row>
    <row r="3335" spans="12:12" x14ac:dyDescent="0.2">
      <c r="L3335" t="str">
        <f t="shared" si="53"/>
        <v/>
      </c>
    </row>
    <row r="3336" spans="12:12" x14ac:dyDescent="0.2">
      <c r="L3336" t="str">
        <f t="shared" si="53"/>
        <v/>
      </c>
    </row>
    <row r="3337" spans="12:12" x14ac:dyDescent="0.2">
      <c r="L3337" t="str">
        <f t="shared" si="53"/>
        <v/>
      </c>
    </row>
    <row r="3338" spans="12:12" x14ac:dyDescent="0.2">
      <c r="L3338" t="str">
        <f t="shared" si="53"/>
        <v/>
      </c>
    </row>
    <row r="3339" spans="12:12" x14ac:dyDescent="0.2">
      <c r="L3339" t="str">
        <f t="shared" si="53"/>
        <v/>
      </c>
    </row>
    <row r="3340" spans="12:12" x14ac:dyDescent="0.2">
      <c r="L3340" t="str">
        <f t="shared" si="53"/>
        <v/>
      </c>
    </row>
    <row r="3341" spans="12:12" x14ac:dyDescent="0.2">
      <c r="L3341" t="str">
        <f t="shared" si="53"/>
        <v/>
      </c>
    </row>
    <row r="3342" spans="12:12" x14ac:dyDescent="0.2">
      <c r="L3342" t="str">
        <f t="shared" si="53"/>
        <v/>
      </c>
    </row>
    <row r="3343" spans="12:12" x14ac:dyDescent="0.2">
      <c r="L3343" t="str">
        <f t="shared" si="53"/>
        <v/>
      </c>
    </row>
    <row r="3344" spans="12:12" x14ac:dyDescent="0.2">
      <c r="L3344" t="str">
        <f t="shared" si="53"/>
        <v/>
      </c>
    </row>
    <row r="3345" spans="12:12" x14ac:dyDescent="0.2">
      <c r="L3345" t="str">
        <f t="shared" si="53"/>
        <v/>
      </c>
    </row>
    <row r="3346" spans="12:12" x14ac:dyDescent="0.2">
      <c r="L3346" t="str">
        <f t="shared" si="53"/>
        <v/>
      </c>
    </row>
    <row r="3347" spans="12:12" x14ac:dyDescent="0.2">
      <c r="L3347" t="str">
        <f t="shared" si="53"/>
        <v/>
      </c>
    </row>
    <row r="3348" spans="12:12" x14ac:dyDescent="0.2">
      <c r="L3348" t="str">
        <f t="shared" si="53"/>
        <v/>
      </c>
    </row>
    <row r="3349" spans="12:12" x14ac:dyDescent="0.2">
      <c r="L3349" t="str">
        <f t="shared" si="53"/>
        <v/>
      </c>
    </row>
    <row r="3350" spans="12:12" x14ac:dyDescent="0.2">
      <c r="L3350" t="str">
        <f t="shared" si="53"/>
        <v/>
      </c>
    </row>
    <row r="3351" spans="12:12" x14ac:dyDescent="0.2">
      <c r="L3351" t="str">
        <f t="shared" si="53"/>
        <v/>
      </c>
    </row>
    <row r="3352" spans="12:12" x14ac:dyDescent="0.2">
      <c r="L3352" t="str">
        <f t="shared" si="53"/>
        <v/>
      </c>
    </row>
    <row r="3353" spans="12:12" x14ac:dyDescent="0.2">
      <c r="L3353" t="str">
        <f t="shared" si="53"/>
        <v/>
      </c>
    </row>
    <row r="3354" spans="12:12" x14ac:dyDescent="0.2">
      <c r="L3354" t="str">
        <f t="shared" si="53"/>
        <v/>
      </c>
    </row>
    <row r="3355" spans="12:12" x14ac:dyDescent="0.2">
      <c r="L3355" t="str">
        <f t="shared" si="53"/>
        <v/>
      </c>
    </row>
    <row r="3356" spans="12:12" x14ac:dyDescent="0.2">
      <c r="L3356" t="str">
        <f t="shared" si="53"/>
        <v/>
      </c>
    </row>
    <row r="3357" spans="12:12" x14ac:dyDescent="0.2">
      <c r="L3357" t="str">
        <f t="shared" si="53"/>
        <v/>
      </c>
    </row>
    <row r="3358" spans="12:12" x14ac:dyDescent="0.2">
      <c r="L3358" t="str">
        <f t="shared" si="53"/>
        <v/>
      </c>
    </row>
    <row r="3359" spans="12:12" x14ac:dyDescent="0.2">
      <c r="L3359" t="str">
        <f t="shared" si="53"/>
        <v/>
      </c>
    </row>
    <row r="3360" spans="12:12" x14ac:dyDescent="0.2">
      <c r="L3360" t="str">
        <f t="shared" si="53"/>
        <v/>
      </c>
    </row>
    <row r="3361" spans="12:12" x14ac:dyDescent="0.2">
      <c r="L3361" t="str">
        <f t="shared" si="53"/>
        <v/>
      </c>
    </row>
    <row r="3362" spans="12:12" x14ac:dyDescent="0.2">
      <c r="L3362" t="str">
        <f t="shared" si="53"/>
        <v/>
      </c>
    </row>
    <row r="3363" spans="12:12" x14ac:dyDescent="0.2">
      <c r="L3363" t="str">
        <f t="shared" si="53"/>
        <v/>
      </c>
    </row>
    <row r="3364" spans="12:12" x14ac:dyDescent="0.2">
      <c r="L3364" t="str">
        <f t="shared" si="53"/>
        <v/>
      </c>
    </row>
    <row r="3365" spans="12:12" x14ac:dyDescent="0.2">
      <c r="L3365" t="str">
        <f t="shared" si="53"/>
        <v/>
      </c>
    </row>
    <row r="3366" spans="12:12" x14ac:dyDescent="0.2">
      <c r="L3366" t="str">
        <f t="shared" si="53"/>
        <v/>
      </c>
    </row>
    <row r="3367" spans="12:12" x14ac:dyDescent="0.2">
      <c r="L3367" t="str">
        <f t="shared" si="53"/>
        <v/>
      </c>
    </row>
    <row r="3368" spans="12:12" x14ac:dyDescent="0.2">
      <c r="L3368" t="str">
        <f t="shared" si="53"/>
        <v/>
      </c>
    </row>
    <row r="3369" spans="12:12" x14ac:dyDescent="0.2">
      <c r="L3369" t="str">
        <f t="shared" si="53"/>
        <v/>
      </c>
    </row>
    <row r="3370" spans="12:12" x14ac:dyDescent="0.2">
      <c r="L3370" t="str">
        <f t="shared" si="53"/>
        <v/>
      </c>
    </row>
    <row r="3371" spans="12:12" x14ac:dyDescent="0.2">
      <c r="L3371" t="str">
        <f t="shared" si="53"/>
        <v/>
      </c>
    </row>
    <row r="3372" spans="12:12" x14ac:dyDescent="0.2">
      <c r="L3372" t="str">
        <f t="shared" si="53"/>
        <v/>
      </c>
    </row>
    <row r="3373" spans="12:12" x14ac:dyDescent="0.2">
      <c r="L3373" t="str">
        <f t="shared" si="53"/>
        <v/>
      </c>
    </row>
    <row r="3374" spans="12:12" x14ac:dyDescent="0.2">
      <c r="L3374" t="str">
        <f t="shared" si="53"/>
        <v/>
      </c>
    </row>
    <row r="3375" spans="12:12" x14ac:dyDescent="0.2">
      <c r="L3375" t="str">
        <f t="shared" si="53"/>
        <v/>
      </c>
    </row>
    <row r="3376" spans="12:12" x14ac:dyDescent="0.2">
      <c r="L3376" t="str">
        <f t="shared" si="53"/>
        <v/>
      </c>
    </row>
    <row r="3377" spans="12:12" x14ac:dyDescent="0.2">
      <c r="L3377" t="str">
        <f t="shared" si="53"/>
        <v/>
      </c>
    </row>
    <row r="3378" spans="12:12" x14ac:dyDescent="0.2">
      <c r="L3378" t="str">
        <f t="shared" si="53"/>
        <v/>
      </c>
    </row>
    <row r="3379" spans="12:12" x14ac:dyDescent="0.2">
      <c r="L3379" t="str">
        <f t="shared" si="53"/>
        <v/>
      </c>
    </row>
    <row r="3380" spans="12:12" x14ac:dyDescent="0.2">
      <c r="L3380" t="str">
        <f t="shared" si="53"/>
        <v/>
      </c>
    </row>
    <row r="3381" spans="12:12" x14ac:dyDescent="0.2">
      <c r="L3381" t="str">
        <f t="shared" si="53"/>
        <v/>
      </c>
    </row>
    <row r="3382" spans="12:12" x14ac:dyDescent="0.2">
      <c r="L3382" t="str">
        <f t="shared" si="53"/>
        <v/>
      </c>
    </row>
    <row r="3383" spans="12:12" x14ac:dyDescent="0.2">
      <c r="L3383" t="str">
        <f t="shared" si="53"/>
        <v/>
      </c>
    </row>
    <row r="3384" spans="12:12" x14ac:dyDescent="0.2">
      <c r="L3384" t="str">
        <f t="shared" si="53"/>
        <v/>
      </c>
    </row>
    <row r="3385" spans="12:12" x14ac:dyDescent="0.2">
      <c r="L3385" t="str">
        <f t="shared" si="53"/>
        <v/>
      </c>
    </row>
    <row r="3386" spans="12:12" x14ac:dyDescent="0.2">
      <c r="L3386" t="str">
        <f t="shared" si="53"/>
        <v/>
      </c>
    </row>
    <row r="3387" spans="12:12" x14ac:dyDescent="0.2">
      <c r="L3387" t="str">
        <f t="shared" si="53"/>
        <v/>
      </c>
    </row>
    <row r="3388" spans="12:12" x14ac:dyDescent="0.2">
      <c r="L3388" t="str">
        <f t="shared" si="53"/>
        <v/>
      </c>
    </row>
    <row r="3389" spans="12:12" x14ac:dyDescent="0.2">
      <c r="L3389" t="str">
        <f t="shared" si="53"/>
        <v/>
      </c>
    </row>
    <row r="3390" spans="12:12" x14ac:dyDescent="0.2">
      <c r="L3390" t="str">
        <f t="shared" si="53"/>
        <v/>
      </c>
    </row>
    <row r="3391" spans="12:12" x14ac:dyDescent="0.2">
      <c r="L3391" t="str">
        <f t="shared" si="53"/>
        <v/>
      </c>
    </row>
    <row r="3392" spans="12:12" x14ac:dyDescent="0.2">
      <c r="L3392" t="str">
        <f t="shared" si="53"/>
        <v/>
      </c>
    </row>
    <row r="3393" spans="12:12" x14ac:dyDescent="0.2">
      <c r="L3393" t="str">
        <f t="shared" si="53"/>
        <v/>
      </c>
    </row>
    <row r="3394" spans="12:12" x14ac:dyDescent="0.2">
      <c r="L3394" t="str">
        <f t="shared" si="53"/>
        <v/>
      </c>
    </row>
    <row r="3395" spans="12:12" x14ac:dyDescent="0.2">
      <c r="L3395" t="str">
        <f t="shared" si="53"/>
        <v/>
      </c>
    </row>
    <row r="3396" spans="12:12" x14ac:dyDescent="0.2">
      <c r="L3396" t="str">
        <f t="shared" ref="L3396:L3459" si="54">IF(L3395&lt;$I$15,L3395+$I$16,"")</f>
        <v/>
      </c>
    </row>
    <row r="3397" spans="12:12" x14ac:dyDescent="0.2">
      <c r="L3397" t="str">
        <f t="shared" si="54"/>
        <v/>
      </c>
    </row>
    <row r="3398" spans="12:12" x14ac:dyDescent="0.2">
      <c r="L3398" t="str">
        <f t="shared" si="54"/>
        <v/>
      </c>
    </row>
    <row r="3399" spans="12:12" x14ac:dyDescent="0.2">
      <c r="L3399" t="str">
        <f t="shared" si="54"/>
        <v/>
      </c>
    </row>
    <row r="3400" spans="12:12" x14ac:dyDescent="0.2">
      <c r="L3400" t="str">
        <f t="shared" si="54"/>
        <v/>
      </c>
    </row>
    <row r="3401" spans="12:12" x14ac:dyDescent="0.2">
      <c r="L3401" t="str">
        <f t="shared" si="54"/>
        <v/>
      </c>
    </row>
    <row r="3402" spans="12:12" x14ac:dyDescent="0.2">
      <c r="L3402" t="str">
        <f t="shared" si="54"/>
        <v/>
      </c>
    </row>
    <row r="3403" spans="12:12" x14ac:dyDescent="0.2">
      <c r="L3403" t="str">
        <f t="shared" si="54"/>
        <v/>
      </c>
    </row>
    <row r="3404" spans="12:12" x14ac:dyDescent="0.2">
      <c r="L3404" t="str">
        <f t="shared" si="54"/>
        <v/>
      </c>
    </row>
    <row r="3405" spans="12:12" x14ac:dyDescent="0.2">
      <c r="L3405" t="str">
        <f t="shared" si="54"/>
        <v/>
      </c>
    </row>
    <row r="3406" spans="12:12" x14ac:dyDescent="0.2">
      <c r="L3406" t="str">
        <f t="shared" si="54"/>
        <v/>
      </c>
    </row>
    <row r="3407" spans="12:12" x14ac:dyDescent="0.2">
      <c r="L3407" t="str">
        <f t="shared" si="54"/>
        <v/>
      </c>
    </row>
    <row r="3408" spans="12:12" x14ac:dyDescent="0.2">
      <c r="L3408" t="str">
        <f t="shared" si="54"/>
        <v/>
      </c>
    </row>
    <row r="3409" spans="12:12" x14ac:dyDescent="0.2">
      <c r="L3409" t="str">
        <f t="shared" si="54"/>
        <v/>
      </c>
    </row>
    <row r="3410" spans="12:12" x14ac:dyDescent="0.2">
      <c r="L3410" t="str">
        <f t="shared" si="54"/>
        <v/>
      </c>
    </row>
    <row r="3411" spans="12:12" x14ac:dyDescent="0.2">
      <c r="L3411" t="str">
        <f t="shared" si="54"/>
        <v/>
      </c>
    </row>
    <row r="3412" spans="12:12" x14ac:dyDescent="0.2">
      <c r="L3412" t="str">
        <f t="shared" si="54"/>
        <v/>
      </c>
    </row>
    <row r="3413" spans="12:12" x14ac:dyDescent="0.2">
      <c r="L3413" t="str">
        <f t="shared" si="54"/>
        <v/>
      </c>
    </row>
    <row r="3414" spans="12:12" x14ac:dyDescent="0.2">
      <c r="L3414" t="str">
        <f t="shared" si="54"/>
        <v/>
      </c>
    </row>
    <row r="3415" spans="12:12" x14ac:dyDescent="0.2">
      <c r="L3415" t="str">
        <f t="shared" si="54"/>
        <v/>
      </c>
    </row>
    <row r="3416" spans="12:12" x14ac:dyDescent="0.2">
      <c r="L3416" t="str">
        <f t="shared" si="54"/>
        <v/>
      </c>
    </row>
    <row r="3417" spans="12:12" x14ac:dyDescent="0.2">
      <c r="L3417" t="str">
        <f t="shared" si="54"/>
        <v/>
      </c>
    </row>
    <row r="3418" spans="12:12" x14ac:dyDescent="0.2">
      <c r="L3418" t="str">
        <f t="shared" si="54"/>
        <v/>
      </c>
    </row>
    <row r="3419" spans="12:12" x14ac:dyDescent="0.2">
      <c r="L3419" t="str">
        <f t="shared" si="54"/>
        <v/>
      </c>
    </row>
    <row r="3420" spans="12:12" x14ac:dyDescent="0.2">
      <c r="L3420" t="str">
        <f t="shared" si="54"/>
        <v/>
      </c>
    </row>
    <row r="3421" spans="12:12" x14ac:dyDescent="0.2">
      <c r="L3421" t="str">
        <f t="shared" si="54"/>
        <v/>
      </c>
    </row>
    <row r="3422" spans="12:12" x14ac:dyDescent="0.2">
      <c r="L3422" t="str">
        <f t="shared" si="54"/>
        <v/>
      </c>
    </row>
    <row r="3423" spans="12:12" x14ac:dyDescent="0.2">
      <c r="L3423" t="str">
        <f t="shared" si="54"/>
        <v/>
      </c>
    </row>
    <row r="3424" spans="12:12" x14ac:dyDescent="0.2">
      <c r="L3424" t="str">
        <f t="shared" si="54"/>
        <v/>
      </c>
    </row>
    <row r="3425" spans="12:12" x14ac:dyDescent="0.2">
      <c r="L3425" t="str">
        <f t="shared" si="54"/>
        <v/>
      </c>
    </row>
    <row r="3426" spans="12:12" x14ac:dyDescent="0.2">
      <c r="L3426" t="str">
        <f t="shared" si="54"/>
        <v/>
      </c>
    </row>
    <row r="3427" spans="12:12" x14ac:dyDescent="0.2">
      <c r="L3427" t="str">
        <f t="shared" si="54"/>
        <v/>
      </c>
    </row>
    <row r="3428" spans="12:12" x14ac:dyDescent="0.2">
      <c r="L3428" t="str">
        <f t="shared" si="54"/>
        <v/>
      </c>
    </row>
    <row r="3429" spans="12:12" x14ac:dyDescent="0.2">
      <c r="L3429" t="str">
        <f t="shared" si="54"/>
        <v/>
      </c>
    </row>
    <row r="3430" spans="12:12" x14ac:dyDescent="0.2">
      <c r="L3430" t="str">
        <f t="shared" si="54"/>
        <v/>
      </c>
    </row>
    <row r="3431" spans="12:12" x14ac:dyDescent="0.2">
      <c r="L3431" t="str">
        <f t="shared" si="54"/>
        <v/>
      </c>
    </row>
    <row r="3432" spans="12:12" x14ac:dyDescent="0.2">
      <c r="L3432" t="str">
        <f t="shared" si="54"/>
        <v/>
      </c>
    </row>
    <row r="3433" spans="12:12" x14ac:dyDescent="0.2">
      <c r="L3433" t="str">
        <f t="shared" si="54"/>
        <v/>
      </c>
    </row>
    <row r="3434" spans="12:12" x14ac:dyDescent="0.2">
      <c r="L3434" t="str">
        <f t="shared" si="54"/>
        <v/>
      </c>
    </row>
    <row r="3435" spans="12:12" x14ac:dyDescent="0.2">
      <c r="L3435" t="str">
        <f t="shared" si="54"/>
        <v/>
      </c>
    </row>
    <row r="3436" spans="12:12" x14ac:dyDescent="0.2">
      <c r="L3436" t="str">
        <f t="shared" si="54"/>
        <v/>
      </c>
    </row>
    <row r="3437" spans="12:12" x14ac:dyDescent="0.2">
      <c r="L3437" t="str">
        <f t="shared" si="54"/>
        <v/>
      </c>
    </row>
    <row r="3438" spans="12:12" x14ac:dyDescent="0.2">
      <c r="L3438" t="str">
        <f t="shared" si="54"/>
        <v/>
      </c>
    </row>
    <row r="3439" spans="12:12" x14ac:dyDescent="0.2">
      <c r="L3439" t="str">
        <f t="shared" si="54"/>
        <v/>
      </c>
    </row>
    <row r="3440" spans="12:12" x14ac:dyDescent="0.2">
      <c r="L3440" t="str">
        <f t="shared" si="54"/>
        <v/>
      </c>
    </row>
    <row r="3441" spans="12:12" x14ac:dyDescent="0.2">
      <c r="L3441" t="str">
        <f t="shared" si="54"/>
        <v/>
      </c>
    </row>
    <row r="3442" spans="12:12" x14ac:dyDescent="0.2">
      <c r="L3442" t="str">
        <f t="shared" si="54"/>
        <v/>
      </c>
    </row>
    <row r="3443" spans="12:12" x14ac:dyDescent="0.2">
      <c r="L3443" t="str">
        <f t="shared" si="54"/>
        <v/>
      </c>
    </row>
    <row r="3444" spans="12:12" x14ac:dyDescent="0.2">
      <c r="L3444" t="str">
        <f t="shared" si="54"/>
        <v/>
      </c>
    </row>
    <row r="3445" spans="12:12" x14ac:dyDescent="0.2">
      <c r="L3445" t="str">
        <f t="shared" si="54"/>
        <v/>
      </c>
    </row>
    <row r="3446" spans="12:12" x14ac:dyDescent="0.2">
      <c r="L3446" t="str">
        <f t="shared" si="54"/>
        <v/>
      </c>
    </row>
    <row r="3447" spans="12:12" x14ac:dyDescent="0.2">
      <c r="L3447" t="str">
        <f t="shared" si="54"/>
        <v/>
      </c>
    </row>
    <row r="3448" spans="12:12" x14ac:dyDescent="0.2">
      <c r="L3448" t="str">
        <f t="shared" si="54"/>
        <v/>
      </c>
    </row>
    <row r="3449" spans="12:12" x14ac:dyDescent="0.2">
      <c r="L3449" t="str">
        <f t="shared" si="54"/>
        <v/>
      </c>
    </row>
    <row r="3450" spans="12:12" x14ac:dyDescent="0.2">
      <c r="L3450" t="str">
        <f t="shared" si="54"/>
        <v/>
      </c>
    </row>
    <row r="3451" spans="12:12" x14ac:dyDescent="0.2">
      <c r="L3451" t="str">
        <f t="shared" si="54"/>
        <v/>
      </c>
    </row>
    <row r="3452" spans="12:12" x14ac:dyDescent="0.2">
      <c r="L3452" t="str">
        <f t="shared" si="54"/>
        <v/>
      </c>
    </row>
    <row r="3453" spans="12:12" x14ac:dyDescent="0.2">
      <c r="L3453" t="str">
        <f t="shared" si="54"/>
        <v/>
      </c>
    </row>
    <row r="3454" spans="12:12" x14ac:dyDescent="0.2">
      <c r="L3454" t="str">
        <f t="shared" si="54"/>
        <v/>
      </c>
    </row>
    <row r="3455" spans="12:12" x14ac:dyDescent="0.2">
      <c r="L3455" t="str">
        <f t="shared" si="54"/>
        <v/>
      </c>
    </row>
    <row r="3456" spans="12:12" x14ac:dyDescent="0.2">
      <c r="L3456" t="str">
        <f t="shared" si="54"/>
        <v/>
      </c>
    </row>
    <row r="3457" spans="12:12" x14ac:dyDescent="0.2">
      <c r="L3457" t="str">
        <f t="shared" si="54"/>
        <v/>
      </c>
    </row>
    <row r="3458" spans="12:12" x14ac:dyDescent="0.2">
      <c r="L3458" t="str">
        <f t="shared" si="54"/>
        <v/>
      </c>
    </row>
    <row r="3459" spans="12:12" x14ac:dyDescent="0.2">
      <c r="L3459" t="str">
        <f t="shared" si="54"/>
        <v/>
      </c>
    </row>
    <row r="3460" spans="12:12" x14ac:dyDescent="0.2">
      <c r="L3460" t="str">
        <f t="shared" ref="L3460:L3523" si="55">IF(L3459&lt;$I$15,L3459+$I$16,"")</f>
        <v/>
      </c>
    </row>
    <row r="3461" spans="12:12" x14ac:dyDescent="0.2">
      <c r="L3461" t="str">
        <f t="shared" si="55"/>
        <v/>
      </c>
    </row>
    <row r="3462" spans="12:12" x14ac:dyDescent="0.2">
      <c r="L3462" t="str">
        <f t="shared" si="55"/>
        <v/>
      </c>
    </row>
    <row r="3463" spans="12:12" x14ac:dyDescent="0.2">
      <c r="L3463" t="str">
        <f t="shared" si="55"/>
        <v/>
      </c>
    </row>
    <row r="3464" spans="12:12" x14ac:dyDescent="0.2">
      <c r="L3464" t="str">
        <f t="shared" si="55"/>
        <v/>
      </c>
    </row>
    <row r="3465" spans="12:12" x14ac:dyDescent="0.2">
      <c r="L3465" t="str">
        <f t="shared" si="55"/>
        <v/>
      </c>
    </row>
    <row r="3466" spans="12:12" x14ac:dyDescent="0.2">
      <c r="L3466" t="str">
        <f t="shared" si="55"/>
        <v/>
      </c>
    </row>
    <row r="3467" spans="12:12" x14ac:dyDescent="0.2">
      <c r="L3467" t="str">
        <f t="shared" si="55"/>
        <v/>
      </c>
    </row>
    <row r="3468" spans="12:12" x14ac:dyDescent="0.2">
      <c r="L3468" t="str">
        <f t="shared" si="55"/>
        <v/>
      </c>
    </row>
    <row r="3469" spans="12:12" x14ac:dyDescent="0.2">
      <c r="L3469" t="str">
        <f t="shared" si="55"/>
        <v/>
      </c>
    </row>
    <row r="3470" spans="12:12" x14ac:dyDescent="0.2">
      <c r="L3470" t="str">
        <f t="shared" si="55"/>
        <v/>
      </c>
    </row>
    <row r="3471" spans="12:12" x14ac:dyDescent="0.2">
      <c r="L3471" t="str">
        <f t="shared" si="55"/>
        <v/>
      </c>
    </row>
    <row r="3472" spans="12:12" x14ac:dyDescent="0.2">
      <c r="L3472" t="str">
        <f t="shared" si="55"/>
        <v/>
      </c>
    </row>
    <row r="3473" spans="12:12" x14ac:dyDescent="0.2">
      <c r="L3473" t="str">
        <f t="shared" si="55"/>
        <v/>
      </c>
    </row>
    <row r="3474" spans="12:12" x14ac:dyDescent="0.2">
      <c r="L3474" t="str">
        <f t="shared" si="55"/>
        <v/>
      </c>
    </row>
    <row r="3475" spans="12:12" x14ac:dyDescent="0.2">
      <c r="L3475" t="str">
        <f t="shared" si="55"/>
        <v/>
      </c>
    </row>
    <row r="3476" spans="12:12" x14ac:dyDescent="0.2">
      <c r="L3476" t="str">
        <f t="shared" si="55"/>
        <v/>
      </c>
    </row>
    <row r="3477" spans="12:12" x14ac:dyDescent="0.2">
      <c r="L3477" t="str">
        <f t="shared" si="55"/>
        <v/>
      </c>
    </row>
    <row r="3478" spans="12:12" x14ac:dyDescent="0.2">
      <c r="L3478" t="str">
        <f t="shared" si="55"/>
        <v/>
      </c>
    </row>
    <row r="3479" spans="12:12" x14ac:dyDescent="0.2">
      <c r="L3479" t="str">
        <f t="shared" si="55"/>
        <v/>
      </c>
    </row>
    <row r="3480" spans="12:12" x14ac:dyDescent="0.2">
      <c r="L3480" t="str">
        <f t="shared" si="55"/>
        <v/>
      </c>
    </row>
    <row r="3481" spans="12:12" x14ac:dyDescent="0.2">
      <c r="L3481" t="str">
        <f t="shared" si="55"/>
        <v/>
      </c>
    </row>
    <row r="3482" spans="12:12" x14ac:dyDescent="0.2">
      <c r="L3482" t="str">
        <f t="shared" si="55"/>
        <v/>
      </c>
    </row>
    <row r="3483" spans="12:12" x14ac:dyDescent="0.2">
      <c r="L3483" t="str">
        <f t="shared" si="55"/>
        <v/>
      </c>
    </row>
    <row r="3484" spans="12:12" x14ac:dyDescent="0.2">
      <c r="L3484" t="str">
        <f t="shared" si="55"/>
        <v/>
      </c>
    </row>
    <row r="3485" spans="12:12" x14ac:dyDescent="0.2">
      <c r="L3485" t="str">
        <f t="shared" si="55"/>
        <v/>
      </c>
    </row>
    <row r="3486" spans="12:12" x14ac:dyDescent="0.2">
      <c r="L3486" t="str">
        <f t="shared" si="55"/>
        <v/>
      </c>
    </row>
    <row r="3487" spans="12:12" x14ac:dyDescent="0.2">
      <c r="L3487" t="str">
        <f t="shared" si="55"/>
        <v/>
      </c>
    </row>
    <row r="3488" spans="12:12" x14ac:dyDescent="0.2">
      <c r="L3488" t="str">
        <f t="shared" si="55"/>
        <v/>
      </c>
    </row>
    <row r="3489" spans="12:12" x14ac:dyDescent="0.2">
      <c r="L3489" t="str">
        <f t="shared" si="55"/>
        <v/>
      </c>
    </row>
    <row r="3490" spans="12:12" x14ac:dyDescent="0.2">
      <c r="L3490" t="str">
        <f t="shared" si="55"/>
        <v/>
      </c>
    </row>
    <row r="3491" spans="12:12" x14ac:dyDescent="0.2">
      <c r="L3491" t="str">
        <f t="shared" si="55"/>
        <v/>
      </c>
    </row>
    <row r="3492" spans="12:12" x14ac:dyDescent="0.2">
      <c r="L3492" t="str">
        <f t="shared" si="55"/>
        <v/>
      </c>
    </row>
    <row r="3493" spans="12:12" x14ac:dyDescent="0.2">
      <c r="L3493" t="str">
        <f t="shared" si="55"/>
        <v/>
      </c>
    </row>
    <row r="3494" spans="12:12" x14ac:dyDescent="0.2">
      <c r="L3494" t="str">
        <f t="shared" si="55"/>
        <v/>
      </c>
    </row>
    <row r="3495" spans="12:12" x14ac:dyDescent="0.2">
      <c r="L3495" t="str">
        <f t="shared" si="55"/>
        <v/>
      </c>
    </row>
    <row r="3496" spans="12:12" x14ac:dyDescent="0.2">
      <c r="L3496" t="str">
        <f t="shared" si="55"/>
        <v/>
      </c>
    </row>
    <row r="3497" spans="12:12" x14ac:dyDescent="0.2">
      <c r="L3497" t="str">
        <f t="shared" si="55"/>
        <v/>
      </c>
    </row>
    <row r="3498" spans="12:12" x14ac:dyDescent="0.2">
      <c r="L3498" t="str">
        <f t="shared" si="55"/>
        <v/>
      </c>
    </row>
    <row r="3499" spans="12:12" x14ac:dyDescent="0.2">
      <c r="L3499" t="str">
        <f t="shared" si="55"/>
        <v/>
      </c>
    </row>
    <row r="3500" spans="12:12" x14ac:dyDescent="0.2">
      <c r="L3500" t="str">
        <f t="shared" si="55"/>
        <v/>
      </c>
    </row>
    <row r="3501" spans="12:12" x14ac:dyDescent="0.2">
      <c r="L3501" t="str">
        <f t="shared" si="55"/>
        <v/>
      </c>
    </row>
    <row r="3502" spans="12:12" x14ac:dyDescent="0.2">
      <c r="L3502" t="str">
        <f t="shared" si="55"/>
        <v/>
      </c>
    </row>
    <row r="3503" spans="12:12" x14ac:dyDescent="0.2">
      <c r="L3503" t="str">
        <f t="shared" si="55"/>
        <v/>
      </c>
    </row>
    <row r="3504" spans="12:12" x14ac:dyDescent="0.2">
      <c r="L3504" t="str">
        <f t="shared" si="55"/>
        <v/>
      </c>
    </row>
    <row r="3505" spans="12:12" x14ac:dyDescent="0.2">
      <c r="L3505" t="str">
        <f t="shared" si="55"/>
        <v/>
      </c>
    </row>
    <row r="3506" spans="12:12" x14ac:dyDescent="0.2">
      <c r="L3506" t="str">
        <f t="shared" si="55"/>
        <v/>
      </c>
    </row>
    <row r="3507" spans="12:12" x14ac:dyDescent="0.2">
      <c r="L3507" t="str">
        <f t="shared" si="55"/>
        <v/>
      </c>
    </row>
    <row r="3508" spans="12:12" x14ac:dyDescent="0.2">
      <c r="L3508" t="str">
        <f t="shared" si="55"/>
        <v/>
      </c>
    </row>
    <row r="3509" spans="12:12" x14ac:dyDescent="0.2">
      <c r="L3509" t="str">
        <f t="shared" si="55"/>
        <v/>
      </c>
    </row>
    <row r="3510" spans="12:12" x14ac:dyDescent="0.2">
      <c r="L3510" t="str">
        <f t="shared" si="55"/>
        <v/>
      </c>
    </row>
    <row r="3511" spans="12:12" x14ac:dyDescent="0.2">
      <c r="L3511" t="str">
        <f t="shared" si="55"/>
        <v/>
      </c>
    </row>
    <row r="3512" spans="12:12" x14ac:dyDescent="0.2">
      <c r="L3512" t="str">
        <f t="shared" si="55"/>
        <v/>
      </c>
    </row>
    <row r="3513" spans="12:12" x14ac:dyDescent="0.2">
      <c r="L3513" t="str">
        <f t="shared" si="55"/>
        <v/>
      </c>
    </row>
    <row r="3514" spans="12:12" x14ac:dyDescent="0.2">
      <c r="L3514" t="str">
        <f t="shared" si="55"/>
        <v/>
      </c>
    </row>
    <row r="3515" spans="12:12" x14ac:dyDescent="0.2">
      <c r="L3515" t="str">
        <f t="shared" si="55"/>
        <v/>
      </c>
    </row>
    <row r="3516" spans="12:12" x14ac:dyDescent="0.2">
      <c r="L3516" t="str">
        <f t="shared" si="55"/>
        <v/>
      </c>
    </row>
    <row r="3517" spans="12:12" x14ac:dyDescent="0.2">
      <c r="L3517" t="str">
        <f t="shared" si="55"/>
        <v/>
      </c>
    </row>
    <row r="3518" spans="12:12" x14ac:dyDescent="0.2">
      <c r="L3518" t="str">
        <f t="shared" si="55"/>
        <v/>
      </c>
    </row>
    <row r="3519" spans="12:12" x14ac:dyDescent="0.2">
      <c r="L3519" t="str">
        <f t="shared" si="55"/>
        <v/>
      </c>
    </row>
    <row r="3520" spans="12:12" x14ac:dyDescent="0.2">
      <c r="L3520" t="str">
        <f t="shared" si="55"/>
        <v/>
      </c>
    </row>
    <row r="3521" spans="12:12" x14ac:dyDescent="0.2">
      <c r="L3521" t="str">
        <f t="shared" si="55"/>
        <v/>
      </c>
    </row>
    <row r="3522" spans="12:12" x14ac:dyDescent="0.2">
      <c r="L3522" t="str">
        <f t="shared" si="55"/>
        <v/>
      </c>
    </row>
    <row r="3523" spans="12:12" x14ac:dyDescent="0.2">
      <c r="L3523" t="str">
        <f t="shared" si="55"/>
        <v/>
      </c>
    </row>
    <row r="3524" spans="12:12" x14ac:dyDescent="0.2">
      <c r="L3524" t="str">
        <f t="shared" ref="L3524:L3587" si="56">IF(L3523&lt;$I$15,L3523+$I$16,"")</f>
        <v/>
      </c>
    </row>
    <row r="3525" spans="12:12" x14ac:dyDescent="0.2">
      <c r="L3525" t="str">
        <f t="shared" si="56"/>
        <v/>
      </c>
    </row>
    <row r="3526" spans="12:12" x14ac:dyDescent="0.2">
      <c r="L3526" t="str">
        <f t="shared" si="56"/>
        <v/>
      </c>
    </row>
    <row r="3527" spans="12:12" x14ac:dyDescent="0.2">
      <c r="L3527" t="str">
        <f t="shared" si="56"/>
        <v/>
      </c>
    </row>
    <row r="3528" spans="12:12" x14ac:dyDescent="0.2">
      <c r="L3528" t="str">
        <f t="shared" si="56"/>
        <v/>
      </c>
    </row>
    <row r="3529" spans="12:12" x14ac:dyDescent="0.2">
      <c r="L3529" t="str">
        <f t="shared" si="56"/>
        <v/>
      </c>
    </row>
    <row r="3530" spans="12:12" x14ac:dyDescent="0.2">
      <c r="L3530" t="str">
        <f t="shared" si="56"/>
        <v/>
      </c>
    </row>
    <row r="3531" spans="12:12" x14ac:dyDescent="0.2">
      <c r="L3531" t="str">
        <f t="shared" si="56"/>
        <v/>
      </c>
    </row>
    <row r="3532" spans="12:12" x14ac:dyDescent="0.2">
      <c r="L3532" t="str">
        <f t="shared" si="56"/>
        <v/>
      </c>
    </row>
    <row r="3533" spans="12:12" x14ac:dyDescent="0.2">
      <c r="L3533" t="str">
        <f t="shared" si="56"/>
        <v/>
      </c>
    </row>
    <row r="3534" spans="12:12" x14ac:dyDescent="0.2">
      <c r="L3534" t="str">
        <f t="shared" si="56"/>
        <v/>
      </c>
    </row>
    <row r="3535" spans="12:12" x14ac:dyDescent="0.2">
      <c r="L3535" t="str">
        <f t="shared" si="56"/>
        <v/>
      </c>
    </row>
    <row r="3536" spans="12:12" x14ac:dyDescent="0.2">
      <c r="L3536" t="str">
        <f t="shared" si="56"/>
        <v/>
      </c>
    </row>
    <row r="3537" spans="12:12" x14ac:dyDescent="0.2">
      <c r="L3537" t="str">
        <f t="shared" si="56"/>
        <v/>
      </c>
    </row>
    <row r="3538" spans="12:12" x14ac:dyDescent="0.2">
      <c r="L3538" t="str">
        <f t="shared" si="56"/>
        <v/>
      </c>
    </row>
    <row r="3539" spans="12:12" x14ac:dyDescent="0.2">
      <c r="L3539" t="str">
        <f t="shared" si="56"/>
        <v/>
      </c>
    </row>
    <row r="3540" spans="12:12" x14ac:dyDescent="0.2">
      <c r="L3540" t="str">
        <f t="shared" si="56"/>
        <v/>
      </c>
    </row>
    <row r="3541" spans="12:12" x14ac:dyDescent="0.2">
      <c r="L3541" t="str">
        <f t="shared" si="56"/>
        <v/>
      </c>
    </row>
    <row r="3542" spans="12:12" x14ac:dyDescent="0.2">
      <c r="L3542" t="str">
        <f t="shared" si="56"/>
        <v/>
      </c>
    </row>
    <row r="3543" spans="12:12" x14ac:dyDescent="0.2">
      <c r="L3543" t="str">
        <f t="shared" si="56"/>
        <v/>
      </c>
    </row>
    <row r="3544" spans="12:12" x14ac:dyDescent="0.2">
      <c r="L3544" t="str">
        <f t="shared" si="56"/>
        <v/>
      </c>
    </row>
    <row r="3545" spans="12:12" x14ac:dyDescent="0.2">
      <c r="L3545" t="str">
        <f t="shared" si="56"/>
        <v/>
      </c>
    </row>
    <row r="3546" spans="12:12" x14ac:dyDescent="0.2">
      <c r="L3546" t="str">
        <f t="shared" si="56"/>
        <v/>
      </c>
    </row>
    <row r="3547" spans="12:12" x14ac:dyDescent="0.2">
      <c r="L3547" t="str">
        <f t="shared" si="56"/>
        <v/>
      </c>
    </row>
    <row r="3548" spans="12:12" x14ac:dyDescent="0.2">
      <c r="L3548" t="str">
        <f t="shared" si="56"/>
        <v/>
      </c>
    </row>
    <row r="3549" spans="12:12" x14ac:dyDescent="0.2">
      <c r="L3549" t="str">
        <f t="shared" si="56"/>
        <v/>
      </c>
    </row>
    <row r="3550" spans="12:12" x14ac:dyDescent="0.2">
      <c r="L3550" t="str">
        <f t="shared" si="56"/>
        <v/>
      </c>
    </row>
    <row r="3551" spans="12:12" x14ac:dyDescent="0.2">
      <c r="L3551" t="str">
        <f t="shared" si="56"/>
        <v/>
      </c>
    </row>
    <row r="3552" spans="12:12" x14ac:dyDescent="0.2">
      <c r="L3552" t="str">
        <f t="shared" si="56"/>
        <v/>
      </c>
    </row>
    <row r="3553" spans="12:12" x14ac:dyDescent="0.2">
      <c r="L3553" t="str">
        <f t="shared" si="56"/>
        <v/>
      </c>
    </row>
    <row r="3554" spans="12:12" x14ac:dyDescent="0.2">
      <c r="L3554" t="str">
        <f t="shared" si="56"/>
        <v/>
      </c>
    </row>
    <row r="3555" spans="12:12" x14ac:dyDescent="0.2">
      <c r="L3555" t="str">
        <f t="shared" si="56"/>
        <v/>
      </c>
    </row>
    <row r="3556" spans="12:12" x14ac:dyDescent="0.2">
      <c r="L3556" t="str">
        <f t="shared" si="56"/>
        <v/>
      </c>
    </row>
    <row r="3557" spans="12:12" x14ac:dyDescent="0.2">
      <c r="L3557" t="str">
        <f t="shared" si="56"/>
        <v/>
      </c>
    </row>
    <row r="3558" spans="12:12" x14ac:dyDescent="0.2">
      <c r="L3558" t="str">
        <f t="shared" si="56"/>
        <v/>
      </c>
    </row>
    <row r="3559" spans="12:12" x14ac:dyDescent="0.2">
      <c r="L3559" t="str">
        <f t="shared" si="56"/>
        <v/>
      </c>
    </row>
    <row r="3560" spans="12:12" x14ac:dyDescent="0.2">
      <c r="L3560" t="str">
        <f t="shared" si="56"/>
        <v/>
      </c>
    </row>
    <row r="3561" spans="12:12" x14ac:dyDescent="0.2">
      <c r="L3561" t="str">
        <f t="shared" si="56"/>
        <v/>
      </c>
    </row>
    <row r="3562" spans="12:12" x14ac:dyDescent="0.2">
      <c r="L3562" t="str">
        <f t="shared" si="56"/>
        <v/>
      </c>
    </row>
    <row r="3563" spans="12:12" x14ac:dyDescent="0.2">
      <c r="L3563" t="str">
        <f t="shared" si="56"/>
        <v/>
      </c>
    </row>
    <row r="3564" spans="12:12" x14ac:dyDescent="0.2">
      <c r="L3564" t="str">
        <f t="shared" si="56"/>
        <v/>
      </c>
    </row>
    <row r="3565" spans="12:12" x14ac:dyDescent="0.2">
      <c r="L3565" t="str">
        <f t="shared" si="56"/>
        <v/>
      </c>
    </row>
    <row r="3566" spans="12:12" x14ac:dyDescent="0.2">
      <c r="L3566" t="str">
        <f t="shared" si="56"/>
        <v/>
      </c>
    </row>
    <row r="3567" spans="12:12" x14ac:dyDescent="0.2">
      <c r="L3567" t="str">
        <f t="shared" si="56"/>
        <v/>
      </c>
    </row>
    <row r="3568" spans="12:12" x14ac:dyDescent="0.2">
      <c r="L3568" t="str">
        <f t="shared" si="56"/>
        <v/>
      </c>
    </row>
    <row r="3569" spans="12:12" x14ac:dyDescent="0.2">
      <c r="L3569" t="str">
        <f t="shared" si="56"/>
        <v/>
      </c>
    </row>
    <row r="3570" spans="12:12" x14ac:dyDescent="0.2">
      <c r="L3570" t="str">
        <f t="shared" si="56"/>
        <v/>
      </c>
    </row>
    <row r="3571" spans="12:12" x14ac:dyDescent="0.2">
      <c r="L3571" t="str">
        <f t="shared" si="56"/>
        <v/>
      </c>
    </row>
    <row r="3572" spans="12:12" x14ac:dyDescent="0.2">
      <c r="L3572" t="str">
        <f t="shared" si="56"/>
        <v/>
      </c>
    </row>
    <row r="3573" spans="12:12" x14ac:dyDescent="0.2">
      <c r="L3573" t="str">
        <f t="shared" si="56"/>
        <v/>
      </c>
    </row>
    <row r="3574" spans="12:12" x14ac:dyDescent="0.2">
      <c r="L3574" t="str">
        <f t="shared" si="56"/>
        <v/>
      </c>
    </row>
    <row r="3575" spans="12:12" x14ac:dyDescent="0.2">
      <c r="L3575" t="str">
        <f t="shared" si="56"/>
        <v/>
      </c>
    </row>
    <row r="3576" spans="12:12" x14ac:dyDescent="0.2">
      <c r="L3576" t="str">
        <f t="shared" si="56"/>
        <v/>
      </c>
    </row>
    <row r="3577" spans="12:12" x14ac:dyDescent="0.2">
      <c r="L3577" t="str">
        <f t="shared" si="56"/>
        <v/>
      </c>
    </row>
    <row r="3578" spans="12:12" x14ac:dyDescent="0.2">
      <c r="L3578" t="str">
        <f t="shared" si="56"/>
        <v/>
      </c>
    </row>
    <row r="3579" spans="12:12" x14ac:dyDescent="0.2">
      <c r="L3579" t="str">
        <f t="shared" si="56"/>
        <v/>
      </c>
    </row>
    <row r="3580" spans="12:12" x14ac:dyDescent="0.2">
      <c r="L3580" t="str">
        <f t="shared" si="56"/>
        <v/>
      </c>
    </row>
    <row r="3581" spans="12:12" x14ac:dyDescent="0.2">
      <c r="L3581" t="str">
        <f t="shared" si="56"/>
        <v/>
      </c>
    </row>
    <row r="3582" spans="12:12" x14ac:dyDescent="0.2">
      <c r="L3582" t="str">
        <f t="shared" si="56"/>
        <v/>
      </c>
    </row>
    <row r="3583" spans="12:12" x14ac:dyDescent="0.2">
      <c r="L3583" t="str">
        <f t="shared" si="56"/>
        <v/>
      </c>
    </row>
    <row r="3584" spans="12:12" x14ac:dyDescent="0.2">
      <c r="L3584" t="str">
        <f t="shared" si="56"/>
        <v/>
      </c>
    </row>
    <row r="3585" spans="12:12" x14ac:dyDescent="0.2">
      <c r="L3585" t="str">
        <f t="shared" si="56"/>
        <v/>
      </c>
    </row>
    <row r="3586" spans="12:12" x14ac:dyDescent="0.2">
      <c r="L3586" t="str">
        <f t="shared" si="56"/>
        <v/>
      </c>
    </row>
    <row r="3587" spans="12:12" x14ac:dyDescent="0.2">
      <c r="L3587" t="str">
        <f t="shared" si="56"/>
        <v/>
      </c>
    </row>
    <row r="3588" spans="12:12" x14ac:dyDescent="0.2">
      <c r="L3588" t="str">
        <f t="shared" ref="L3588:L3651" si="57">IF(L3587&lt;$I$15,L3587+$I$16,"")</f>
        <v/>
      </c>
    </row>
    <row r="3589" spans="12:12" x14ac:dyDescent="0.2">
      <c r="L3589" t="str">
        <f t="shared" si="57"/>
        <v/>
      </c>
    </row>
    <row r="3590" spans="12:12" x14ac:dyDescent="0.2">
      <c r="L3590" t="str">
        <f t="shared" si="57"/>
        <v/>
      </c>
    </row>
    <row r="3591" spans="12:12" x14ac:dyDescent="0.2">
      <c r="L3591" t="str">
        <f t="shared" si="57"/>
        <v/>
      </c>
    </row>
    <row r="3592" spans="12:12" x14ac:dyDescent="0.2">
      <c r="L3592" t="str">
        <f t="shared" si="57"/>
        <v/>
      </c>
    </row>
    <row r="3593" spans="12:12" x14ac:dyDescent="0.2">
      <c r="L3593" t="str">
        <f t="shared" si="57"/>
        <v/>
      </c>
    </row>
    <row r="3594" spans="12:12" x14ac:dyDescent="0.2">
      <c r="L3594" t="str">
        <f t="shared" si="57"/>
        <v/>
      </c>
    </row>
    <row r="3595" spans="12:12" x14ac:dyDescent="0.2">
      <c r="L3595" t="str">
        <f t="shared" si="57"/>
        <v/>
      </c>
    </row>
    <row r="3596" spans="12:12" x14ac:dyDescent="0.2">
      <c r="L3596" t="str">
        <f t="shared" si="57"/>
        <v/>
      </c>
    </row>
    <row r="3597" spans="12:12" x14ac:dyDescent="0.2">
      <c r="L3597" t="str">
        <f t="shared" si="57"/>
        <v/>
      </c>
    </row>
    <row r="3598" spans="12:12" x14ac:dyDescent="0.2">
      <c r="L3598" t="str">
        <f t="shared" si="57"/>
        <v/>
      </c>
    </row>
    <row r="3599" spans="12:12" x14ac:dyDescent="0.2">
      <c r="L3599" t="str">
        <f t="shared" si="57"/>
        <v/>
      </c>
    </row>
    <row r="3600" spans="12:12" x14ac:dyDescent="0.2">
      <c r="L3600" t="str">
        <f t="shared" si="57"/>
        <v/>
      </c>
    </row>
    <row r="3601" spans="12:12" x14ac:dyDescent="0.2">
      <c r="L3601" t="str">
        <f t="shared" si="57"/>
        <v/>
      </c>
    </row>
    <row r="3602" spans="12:12" x14ac:dyDescent="0.2">
      <c r="L3602" t="str">
        <f t="shared" si="57"/>
        <v/>
      </c>
    </row>
    <row r="3603" spans="12:12" x14ac:dyDescent="0.2">
      <c r="L3603" t="str">
        <f t="shared" si="57"/>
        <v/>
      </c>
    </row>
    <row r="3604" spans="12:12" x14ac:dyDescent="0.2">
      <c r="L3604" t="str">
        <f t="shared" si="57"/>
        <v/>
      </c>
    </row>
    <row r="3605" spans="12:12" x14ac:dyDescent="0.2">
      <c r="L3605" t="str">
        <f t="shared" si="57"/>
        <v/>
      </c>
    </row>
    <row r="3606" spans="12:12" x14ac:dyDescent="0.2">
      <c r="L3606" t="str">
        <f t="shared" si="57"/>
        <v/>
      </c>
    </row>
    <row r="3607" spans="12:12" x14ac:dyDescent="0.2">
      <c r="L3607" t="str">
        <f t="shared" si="57"/>
        <v/>
      </c>
    </row>
    <row r="3608" spans="12:12" x14ac:dyDescent="0.2">
      <c r="L3608" t="str">
        <f t="shared" si="57"/>
        <v/>
      </c>
    </row>
    <row r="3609" spans="12:12" x14ac:dyDescent="0.2">
      <c r="L3609" t="str">
        <f t="shared" si="57"/>
        <v/>
      </c>
    </row>
    <row r="3610" spans="12:12" x14ac:dyDescent="0.2">
      <c r="L3610" t="str">
        <f t="shared" si="57"/>
        <v/>
      </c>
    </row>
    <row r="3611" spans="12:12" x14ac:dyDescent="0.2">
      <c r="L3611" t="str">
        <f t="shared" si="57"/>
        <v/>
      </c>
    </row>
    <row r="3612" spans="12:12" x14ac:dyDescent="0.2">
      <c r="L3612" t="str">
        <f t="shared" si="57"/>
        <v/>
      </c>
    </row>
    <row r="3613" spans="12:12" x14ac:dyDescent="0.2">
      <c r="L3613" t="str">
        <f t="shared" si="57"/>
        <v/>
      </c>
    </row>
    <row r="3614" spans="12:12" x14ac:dyDescent="0.2">
      <c r="L3614" t="str">
        <f t="shared" si="57"/>
        <v/>
      </c>
    </row>
    <row r="3615" spans="12:12" x14ac:dyDescent="0.2">
      <c r="L3615" t="str">
        <f t="shared" si="57"/>
        <v/>
      </c>
    </row>
    <row r="3616" spans="12:12" x14ac:dyDescent="0.2">
      <c r="L3616" t="str">
        <f t="shared" si="57"/>
        <v/>
      </c>
    </row>
    <row r="3617" spans="12:12" x14ac:dyDescent="0.2">
      <c r="L3617" t="str">
        <f t="shared" si="57"/>
        <v/>
      </c>
    </row>
    <row r="3618" spans="12:12" x14ac:dyDescent="0.2">
      <c r="L3618" t="str">
        <f t="shared" si="57"/>
        <v/>
      </c>
    </row>
    <row r="3619" spans="12:12" x14ac:dyDescent="0.2">
      <c r="L3619" t="str">
        <f t="shared" si="57"/>
        <v/>
      </c>
    </row>
    <row r="3620" spans="12:12" x14ac:dyDescent="0.2">
      <c r="L3620" t="str">
        <f t="shared" si="57"/>
        <v/>
      </c>
    </row>
    <row r="3621" spans="12:12" x14ac:dyDescent="0.2">
      <c r="L3621" t="str">
        <f t="shared" si="57"/>
        <v/>
      </c>
    </row>
    <row r="3622" spans="12:12" x14ac:dyDescent="0.2">
      <c r="L3622" t="str">
        <f t="shared" si="57"/>
        <v/>
      </c>
    </row>
    <row r="3623" spans="12:12" x14ac:dyDescent="0.2">
      <c r="L3623" t="str">
        <f t="shared" si="57"/>
        <v/>
      </c>
    </row>
    <row r="3624" spans="12:12" x14ac:dyDescent="0.2">
      <c r="L3624" t="str">
        <f t="shared" si="57"/>
        <v/>
      </c>
    </row>
    <row r="3625" spans="12:12" x14ac:dyDescent="0.2">
      <c r="L3625" t="str">
        <f t="shared" si="57"/>
        <v/>
      </c>
    </row>
    <row r="3626" spans="12:12" x14ac:dyDescent="0.2">
      <c r="L3626" t="str">
        <f t="shared" si="57"/>
        <v/>
      </c>
    </row>
    <row r="3627" spans="12:12" x14ac:dyDescent="0.2">
      <c r="L3627" t="str">
        <f t="shared" si="57"/>
        <v/>
      </c>
    </row>
    <row r="3628" spans="12:12" x14ac:dyDescent="0.2">
      <c r="L3628" t="str">
        <f t="shared" si="57"/>
        <v/>
      </c>
    </row>
    <row r="3629" spans="12:12" x14ac:dyDescent="0.2">
      <c r="L3629" t="str">
        <f t="shared" si="57"/>
        <v/>
      </c>
    </row>
    <row r="3630" spans="12:12" x14ac:dyDescent="0.2">
      <c r="L3630" t="str">
        <f t="shared" si="57"/>
        <v/>
      </c>
    </row>
    <row r="3631" spans="12:12" x14ac:dyDescent="0.2">
      <c r="L3631" t="str">
        <f t="shared" si="57"/>
        <v/>
      </c>
    </row>
    <row r="3632" spans="12:12" x14ac:dyDescent="0.2">
      <c r="L3632" t="str">
        <f t="shared" si="57"/>
        <v/>
      </c>
    </row>
    <row r="3633" spans="12:12" x14ac:dyDescent="0.2">
      <c r="L3633" t="str">
        <f t="shared" si="57"/>
        <v/>
      </c>
    </row>
    <row r="3634" spans="12:12" x14ac:dyDescent="0.2">
      <c r="L3634" t="str">
        <f t="shared" si="57"/>
        <v/>
      </c>
    </row>
    <row r="3635" spans="12:12" x14ac:dyDescent="0.2">
      <c r="L3635" t="str">
        <f t="shared" si="57"/>
        <v/>
      </c>
    </row>
    <row r="3636" spans="12:12" x14ac:dyDescent="0.2">
      <c r="L3636" t="str">
        <f t="shared" si="57"/>
        <v/>
      </c>
    </row>
    <row r="3637" spans="12:12" x14ac:dyDescent="0.2">
      <c r="L3637" t="str">
        <f t="shared" si="57"/>
        <v/>
      </c>
    </row>
    <row r="3638" spans="12:12" x14ac:dyDescent="0.2">
      <c r="L3638" t="str">
        <f t="shared" si="57"/>
        <v/>
      </c>
    </row>
    <row r="3639" spans="12:12" x14ac:dyDescent="0.2">
      <c r="L3639" t="str">
        <f t="shared" si="57"/>
        <v/>
      </c>
    </row>
    <row r="3640" spans="12:12" x14ac:dyDescent="0.2">
      <c r="L3640" t="str">
        <f t="shared" si="57"/>
        <v/>
      </c>
    </row>
    <row r="3641" spans="12:12" x14ac:dyDescent="0.2">
      <c r="L3641" t="str">
        <f t="shared" si="57"/>
        <v/>
      </c>
    </row>
    <row r="3642" spans="12:12" x14ac:dyDescent="0.2">
      <c r="L3642" t="str">
        <f t="shared" si="57"/>
        <v/>
      </c>
    </row>
    <row r="3643" spans="12:12" x14ac:dyDescent="0.2">
      <c r="L3643" t="str">
        <f t="shared" si="57"/>
        <v/>
      </c>
    </row>
    <row r="3644" spans="12:12" x14ac:dyDescent="0.2">
      <c r="L3644" t="str">
        <f t="shared" si="57"/>
        <v/>
      </c>
    </row>
    <row r="3645" spans="12:12" x14ac:dyDescent="0.2">
      <c r="L3645" t="str">
        <f t="shared" si="57"/>
        <v/>
      </c>
    </row>
    <row r="3646" spans="12:12" x14ac:dyDescent="0.2">
      <c r="L3646" t="str">
        <f t="shared" si="57"/>
        <v/>
      </c>
    </row>
    <row r="3647" spans="12:12" x14ac:dyDescent="0.2">
      <c r="L3647" t="str">
        <f t="shared" si="57"/>
        <v/>
      </c>
    </row>
    <row r="3648" spans="12:12" x14ac:dyDescent="0.2">
      <c r="L3648" t="str">
        <f t="shared" si="57"/>
        <v/>
      </c>
    </row>
    <row r="3649" spans="12:12" x14ac:dyDescent="0.2">
      <c r="L3649" t="str">
        <f t="shared" si="57"/>
        <v/>
      </c>
    </row>
    <row r="3650" spans="12:12" x14ac:dyDescent="0.2">
      <c r="L3650" t="str">
        <f t="shared" si="57"/>
        <v/>
      </c>
    </row>
    <row r="3651" spans="12:12" x14ac:dyDescent="0.2">
      <c r="L3651" t="str">
        <f t="shared" si="57"/>
        <v/>
      </c>
    </row>
    <row r="3652" spans="12:12" x14ac:dyDescent="0.2">
      <c r="L3652" t="str">
        <f t="shared" ref="L3652:L3715" si="58">IF(L3651&lt;$I$15,L3651+$I$16,"")</f>
        <v/>
      </c>
    </row>
    <row r="3653" spans="12:12" x14ac:dyDescent="0.2">
      <c r="L3653" t="str">
        <f t="shared" si="58"/>
        <v/>
      </c>
    </row>
    <row r="3654" spans="12:12" x14ac:dyDescent="0.2">
      <c r="L3654" t="str">
        <f t="shared" si="58"/>
        <v/>
      </c>
    </row>
    <row r="3655" spans="12:12" x14ac:dyDescent="0.2">
      <c r="L3655" t="str">
        <f t="shared" si="58"/>
        <v/>
      </c>
    </row>
    <row r="3656" spans="12:12" x14ac:dyDescent="0.2">
      <c r="L3656" t="str">
        <f t="shared" si="58"/>
        <v/>
      </c>
    </row>
    <row r="3657" spans="12:12" x14ac:dyDescent="0.2">
      <c r="L3657" t="str">
        <f t="shared" si="58"/>
        <v/>
      </c>
    </row>
    <row r="3658" spans="12:12" x14ac:dyDescent="0.2">
      <c r="L3658" t="str">
        <f t="shared" si="58"/>
        <v/>
      </c>
    </row>
    <row r="3659" spans="12:12" x14ac:dyDescent="0.2">
      <c r="L3659" t="str">
        <f t="shared" si="58"/>
        <v/>
      </c>
    </row>
    <row r="3660" spans="12:12" x14ac:dyDescent="0.2">
      <c r="L3660" t="str">
        <f t="shared" si="58"/>
        <v/>
      </c>
    </row>
    <row r="3661" spans="12:12" x14ac:dyDescent="0.2">
      <c r="L3661" t="str">
        <f t="shared" si="58"/>
        <v/>
      </c>
    </row>
    <row r="3662" spans="12:12" x14ac:dyDescent="0.2">
      <c r="L3662" t="str">
        <f t="shared" si="58"/>
        <v/>
      </c>
    </row>
    <row r="3663" spans="12:12" x14ac:dyDescent="0.2">
      <c r="L3663" t="str">
        <f t="shared" si="58"/>
        <v/>
      </c>
    </row>
    <row r="3664" spans="12:12" x14ac:dyDescent="0.2">
      <c r="L3664" t="str">
        <f t="shared" si="58"/>
        <v/>
      </c>
    </row>
    <row r="3665" spans="12:12" x14ac:dyDescent="0.2">
      <c r="L3665" t="str">
        <f t="shared" si="58"/>
        <v/>
      </c>
    </row>
    <row r="3666" spans="12:12" x14ac:dyDescent="0.2">
      <c r="L3666" t="str">
        <f t="shared" si="58"/>
        <v/>
      </c>
    </row>
    <row r="3667" spans="12:12" x14ac:dyDescent="0.2">
      <c r="L3667" t="str">
        <f t="shared" si="58"/>
        <v/>
      </c>
    </row>
    <row r="3668" spans="12:12" x14ac:dyDescent="0.2">
      <c r="L3668" t="str">
        <f t="shared" si="58"/>
        <v/>
      </c>
    </row>
    <row r="3669" spans="12:12" x14ac:dyDescent="0.2">
      <c r="L3669" t="str">
        <f t="shared" si="58"/>
        <v/>
      </c>
    </row>
    <row r="3670" spans="12:12" x14ac:dyDescent="0.2">
      <c r="L3670" t="str">
        <f t="shared" si="58"/>
        <v/>
      </c>
    </row>
    <row r="3671" spans="12:12" x14ac:dyDescent="0.2">
      <c r="L3671" t="str">
        <f t="shared" si="58"/>
        <v/>
      </c>
    </row>
    <row r="3672" spans="12:12" x14ac:dyDescent="0.2">
      <c r="L3672" t="str">
        <f t="shared" si="58"/>
        <v/>
      </c>
    </row>
    <row r="3673" spans="12:12" x14ac:dyDescent="0.2">
      <c r="L3673" t="str">
        <f t="shared" si="58"/>
        <v/>
      </c>
    </row>
    <row r="3674" spans="12:12" x14ac:dyDescent="0.2">
      <c r="L3674" t="str">
        <f t="shared" si="58"/>
        <v/>
      </c>
    </row>
    <row r="3675" spans="12:12" x14ac:dyDescent="0.2">
      <c r="L3675" t="str">
        <f t="shared" si="58"/>
        <v/>
      </c>
    </row>
    <row r="3676" spans="12:12" x14ac:dyDescent="0.2">
      <c r="L3676" t="str">
        <f t="shared" si="58"/>
        <v/>
      </c>
    </row>
    <row r="3677" spans="12:12" x14ac:dyDescent="0.2">
      <c r="L3677" t="str">
        <f t="shared" si="58"/>
        <v/>
      </c>
    </row>
    <row r="3678" spans="12:12" x14ac:dyDescent="0.2">
      <c r="L3678" t="str">
        <f t="shared" si="58"/>
        <v/>
      </c>
    </row>
    <row r="3679" spans="12:12" x14ac:dyDescent="0.2">
      <c r="L3679" t="str">
        <f t="shared" si="58"/>
        <v/>
      </c>
    </row>
    <row r="3680" spans="12:12" x14ac:dyDescent="0.2">
      <c r="L3680" t="str">
        <f t="shared" si="58"/>
        <v/>
      </c>
    </row>
    <row r="3681" spans="12:12" x14ac:dyDescent="0.2">
      <c r="L3681" t="str">
        <f t="shared" si="58"/>
        <v/>
      </c>
    </row>
    <row r="3682" spans="12:12" x14ac:dyDescent="0.2">
      <c r="L3682" t="str">
        <f t="shared" si="58"/>
        <v/>
      </c>
    </row>
    <row r="3683" spans="12:12" x14ac:dyDescent="0.2">
      <c r="L3683" t="str">
        <f t="shared" si="58"/>
        <v/>
      </c>
    </row>
    <row r="3684" spans="12:12" x14ac:dyDescent="0.2">
      <c r="L3684" t="str">
        <f t="shared" si="58"/>
        <v/>
      </c>
    </row>
    <row r="3685" spans="12:12" x14ac:dyDescent="0.2">
      <c r="L3685" t="str">
        <f t="shared" si="58"/>
        <v/>
      </c>
    </row>
    <row r="3686" spans="12:12" x14ac:dyDescent="0.2">
      <c r="L3686" t="str">
        <f t="shared" si="58"/>
        <v/>
      </c>
    </row>
    <row r="3687" spans="12:12" x14ac:dyDescent="0.2">
      <c r="L3687" t="str">
        <f t="shared" si="58"/>
        <v/>
      </c>
    </row>
    <row r="3688" spans="12:12" x14ac:dyDescent="0.2">
      <c r="L3688" t="str">
        <f t="shared" si="58"/>
        <v/>
      </c>
    </row>
    <row r="3689" spans="12:12" x14ac:dyDescent="0.2">
      <c r="L3689" t="str">
        <f t="shared" si="58"/>
        <v/>
      </c>
    </row>
    <row r="3690" spans="12:12" x14ac:dyDescent="0.2">
      <c r="L3690" t="str">
        <f t="shared" si="58"/>
        <v/>
      </c>
    </row>
    <row r="3691" spans="12:12" x14ac:dyDescent="0.2">
      <c r="L3691" t="str">
        <f t="shared" si="58"/>
        <v/>
      </c>
    </row>
    <row r="3692" spans="12:12" x14ac:dyDescent="0.2">
      <c r="L3692" t="str">
        <f t="shared" si="58"/>
        <v/>
      </c>
    </row>
    <row r="3693" spans="12:12" x14ac:dyDescent="0.2">
      <c r="L3693" t="str">
        <f t="shared" si="58"/>
        <v/>
      </c>
    </row>
    <row r="3694" spans="12:12" x14ac:dyDescent="0.2">
      <c r="L3694" t="str">
        <f t="shared" si="58"/>
        <v/>
      </c>
    </row>
    <row r="3695" spans="12:12" x14ac:dyDescent="0.2">
      <c r="L3695" t="str">
        <f t="shared" si="58"/>
        <v/>
      </c>
    </row>
    <row r="3696" spans="12:12" x14ac:dyDescent="0.2">
      <c r="L3696" t="str">
        <f t="shared" si="58"/>
        <v/>
      </c>
    </row>
    <row r="3697" spans="12:12" x14ac:dyDescent="0.2">
      <c r="L3697" t="str">
        <f t="shared" si="58"/>
        <v/>
      </c>
    </row>
    <row r="3698" spans="12:12" x14ac:dyDescent="0.2">
      <c r="L3698" t="str">
        <f t="shared" si="58"/>
        <v/>
      </c>
    </row>
    <row r="3699" spans="12:12" x14ac:dyDescent="0.2">
      <c r="L3699" t="str">
        <f t="shared" si="58"/>
        <v/>
      </c>
    </row>
    <row r="3700" spans="12:12" x14ac:dyDescent="0.2">
      <c r="L3700" t="str">
        <f t="shared" si="58"/>
        <v/>
      </c>
    </row>
    <row r="3701" spans="12:12" x14ac:dyDescent="0.2">
      <c r="L3701" t="str">
        <f t="shared" si="58"/>
        <v/>
      </c>
    </row>
    <row r="3702" spans="12:12" x14ac:dyDescent="0.2">
      <c r="L3702" t="str">
        <f t="shared" si="58"/>
        <v/>
      </c>
    </row>
    <row r="3703" spans="12:12" x14ac:dyDescent="0.2">
      <c r="L3703" t="str">
        <f t="shared" si="58"/>
        <v/>
      </c>
    </row>
    <row r="3704" spans="12:12" x14ac:dyDescent="0.2">
      <c r="L3704" t="str">
        <f t="shared" si="58"/>
        <v/>
      </c>
    </row>
    <row r="3705" spans="12:12" x14ac:dyDescent="0.2">
      <c r="L3705" t="str">
        <f t="shared" si="58"/>
        <v/>
      </c>
    </row>
    <row r="3706" spans="12:12" x14ac:dyDescent="0.2">
      <c r="L3706" t="str">
        <f t="shared" si="58"/>
        <v/>
      </c>
    </row>
    <row r="3707" spans="12:12" x14ac:dyDescent="0.2">
      <c r="L3707" t="str">
        <f t="shared" si="58"/>
        <v/>
      </c>
    </row>
    <row r="3708" spans="12:12" x14ac:dyDescent="0.2">
      <c r="L3708" t="str">
        <f t="shared" si="58"/>
        <v/>
      </c>
    </row>
    <row r="3709" spans="12:12" x14ac:dyDescent="0.2">
      <c r="L3709" t="str">
        <f t="shared" si="58"/>
        <v/>
      </c>
    </row>
    <row r="3710" spans="12:12" x14ac:dyDescent="0.2">
      <c r="L3710" t="str">
        <f t="shared" si="58"/>
        <v/>
      </c>
    </row>
    <row r="3711" spans="12:12" x14ac:dyDescent="0.2">
      <c r="L3711" t="str">
        <f t="shared" si="58"/>
        <v/>
      </c>
    </row>
    <row r="3712" spans="12:12" x14ac:dyDescent="0.2">
      <c r="L3712" t="str">
        <f t="shared" si="58"/>
        <v/>
      </c>
    </row>
    <row r="3713" spans="12:12" x14ac:dyDescent="0.2">
      <c r="L3713" t="str">
        <f t="shared" si="58"/>
        <v/>
      </c>
    </row>
    <row r="3714" spans="12:12" x14ac:dyDescent="0.2">
      <c r="L3714" t="str">
        <f t="shared" si="58"/>
        <v/>
      </c>
    </row>
    <row r="3715" spans="12:12" x14ac:dyDescent="0.2">
      <c r="L3715" t="str">
        <f t="shared" si="58"/>
        <v/>
      </c>
    </row>
    <row r="3716" spans="12:12" x14ac:dyDescent="0.2">
      <c r="L3716" t="str">
        <f t="shared" ref="L3716:L3779" si="59">IF(L3715&lt;$I$15,L3715+$I$16,"")</f>
        <v/>
      </c>
    </row>
    <row r="3717" spans="12:12" x14ac:dyDescent="0.2">
      <c r="L3717" t="str">
        <f t="shared" si="59"/>
        <v/>
      </c>
    </row>
    <row r="3718" spans="12:12" x14ac:dyDescent="0.2">
      <c r="L3718" t="str">
        <f t="shared" si="59"/>
        <v/>
      </c>
    </row>
    <row r="3719" spans="12:12" x14ac:dyDescent="0.2">
      <c r="L3719" t="str">
        <f t="shared" si="59"/>
        <v/>
      </c>
    </row>
    <row r="3720" spans="12:12" x14ac:dyDescent="0.2">
      <c r="L3720" t="str">
        <f t="shared" si="59"/>
        <v/>
      </c>
    </row>
    <row r="3721" spans="12:12" x14ac:dyDescent="0.2">
      <c r="L3721" t="str">
        <f t="shared" si="59"/>
        <v/>
      </c>
    </row>
    <row r="3722" spans="12:12" x14ac:dyDescent="0.2">
      <c r="L3722" t="str">
        <f t="shared" si="59"/>
        <v/>
      </c>
    </row>
    <row r="3723" spans="12:12" x14ac:dyDescent="0.2">
      <c r="L3723" t="str">
        <f t="shared" si="59"/>
        <v/>
      </c>
    </row>
    <row r="3724" spans="12:12" x14ac:dyDescent="0.2">
      <c r="L3724" t="str">
        <f t="shared" si="59"/>
        <v/>
      </c>
    </row>
    <row r="3725" spans="12:12" x14ac:dyDescent="0.2">
      <c r="L3725" t="str">
        <f t="shared" si="59"/>
        <v/>
      </c>
    </row>
    <row r="3726" spans="12:12" x14ac:dyDescent="0.2">
      <c r="L3726" t="str">
        <f t="shared" si="59"/>
        <v/>
      </c>
    </row>
    <row r="3727" spans="12:12" x14ac:dyDescent="0.2">
      <c r="L3727" t="str">
        <f t="shared" si="59"/>
        <v/>
      </c>
    </row>
    <row r="3728" spans="12:12" x14ac:dyDescent="0.2">
      <c r="L3728" t="str">
        <f t="shared" si="59"/>
        <v/>
      </c>
    </row>
    <row r="3729" spans="12:12" x14ac:dyDescent="0.2">
      <c r="L3729" t="str">
        <f t="shared" si="59"/>
        <v/>
      </c>
    </row>
    <row r="3730" spans="12:12" x14ac:dyDescent="0.2">
      <c r="L3730" t="str">
        <f t="shared" si="59"/>
        <v/>
      </c>
    </row>
    <row r="3731" spans="12:12" x14ac:dyDescent="0.2">
      <c r="L3731" t="str">
        <f t="shared" si="59"/>
        <v/>
      </c>
    </row>
    <row r="3732" spans="12:12" x14ac:dyDescent="0.2">
      <c r="L3732" t="str">
        <f t="shared" si="59"/>
        <v/>
      </c>
    </row>
    <row r="3733" spans="12:12" x14ac:dyDescent="0.2">
      <c r="L3733" t="str">
        <f t="shared" si="59"/>
        <v/>
      </c>
    </row>
    <row r="3734" spans="12:12" x14ac:dyDescent="0.2">
      <c r="L3734" t="str">
        <f t="shared" si="59"/>
        <v/>
      </c>
    </row>
    <row r="3735" spans="12:12" x14ac:dyDescent="0.2">
      <c r="L3735" t="str">
        <f t="shared" si="59"/>
        <v/>
      </c>
    </row>
    <row r="3736" spans="12:12" x14ac:dyDescent="0.2">
      <c r="L3736" t="str">
        <f t="shared" si="59"/>
        <v/>
      </c>
    </row>
    <row r="3737" spans="12:12" x14ac:dyDescent="0.2">
      <c r="L3737" t="str">
        <f t="shared" si="59"/>
        <v/>
      </c>
    </row>
    <row r="3738" spans="12:12" x14ac:dyDescent="0.2">
      <c r="L3738" t="str">
        <f t="shared" si="59"/>
        <v/>
      </c>
    </row>
    <row r="3739" spans="12:12" x14ac:dyDescent="0.2">
      <c r="L3739" t="str">
        <f t="shared" si="59"/>
        <v/>
      </c>
    </row>
    <row r="3740" spans="12:12" x14ac:dyDescent="0.2">
      <c r="L3740" t="str">
        <f t="shared" si="59"/>
        <v/>
      </c>
    </row>
    <row r="3741" spans="12:12" x14ac:dyDescent="0.2">
      <c r="L3741" t="str">
        <f t="shared" si="59"/>
        <v/>
      </c>
    </row>
    <row r="3742" spans="12:12" x14ac:dyDescent="0.2">
      <c r="L3742" t="str">
        <f t="shared" si="59"/>
        <v/>
      </c>
    </row>
    <row r="3743" spans="12:12" x14ac:dyDescent="0.2">
      <c r="L3743" t="str">
        <f t="shared" si="59"/>
        <v/>
      </c>
    </row>
    <row r="3744" spans="12:12" x14ac:dyDescent="0.2">
      <c r="L3744" t="str">
        <f t="shared" si="59"/>
        <v/>
      </c>
    </row>
    <row r="3745" spans="12:12" x14ac:dyDescent="0.2">
      <c r="L3745" t="str">
        <f t="shared" si="59"/>
        <v/>
      </c>
    </row>
    <row r="3746" spans="12:12" x14ac:dyDescent="0.2">
      <c r="L3746" t="str">
        <f t="shared" si="59"/>
        <v/>
      </c>
    </row>
    <row r="3747" spans="12:12" x14ac:dyDescent="0.2">
      <c r="L3747" t="str">
        <f t="shared" si="59"/>
        <v/>
      </c>
    </row>
    <row r="3748" spans="12:12" x14ac:dyDescent="0.2">
      <c r="L3748" t="str">
        <f t="shared" si="59"/>
        <v/>
      </c>
    </row>
    <row r="3749" spans="12:12" x14ac:dyDescent="0.2">
      <c r="L3749" t="str">
        <f t="shared" si="59"/>
        <v/>
      </c>
    </row>
    <row r="3750" spans="12:12" x14ac:dyDescent="0.2">
      <c r="L3750" t="str">
        <f t="shared" si="59"/>
        <v/>
      </c>
    </row>
    <row r="3751" spans="12:12" x14ac:dyDescent="0.2">
      <c r="L3751" t="str">
        <f t="shared" si="59"/>
        <v/>
      </c>
    </row>
    <row r="3752" spans="12:12" x14ac:dyDescent="0.2">
      <c r="L3752" t="str">
        <f t="shared" si="59"/>
        <v/>
      </c>
    </row>
    <row r="3753" spans="12:12" x14ac:dyDescent="0.2">
      <c r="L3753" t="str">
        <f t="shared" si="59"/>
        <v/>
      </c>
    </row>
    <row r="3754" spans="12:12" x14ac:dyDescent="0.2">
      <c r="L3754" t="str">
        <f t="shared" si="59"/>
        <v/>
      </c>
    </row>
    <row r="3755" spans="12:12" x14ac:dyDescent="0.2">
      <c r="L3755" t="str">
        <f t="shared" si="59"/>
        <v/>
      </c>
    </row>
    <row r="3756" spans="12:12" x14ac:dyDescent="0.2">
      <c r="L3756" t="str">
        <f t="shared" si="59"/>
        <v/>
      </c>
    </row>
    <row r="3757" spans="12:12" x14ac:dyDescent="0.2">
      <c r="L3757" t="str">
        <f t="shared" si="59"/>
        <v/>
      </c>
    </row>
    <row r="3758" spans="12:12" x14ac:dyDescent="0.2">
      <c r="L3758" t="str">
        <f t="shared" si="59"/>
        <v/>
      </c>
    </row>
    <row r="3759" spans="12:12" x14ac:dyDescent="0.2">
      <c r="L3759" t="str">
        <f t="shared" si="59"/>
        <v/>
      </c>
    </row>
    <row r="3760" spans="12:12" x14ac:dyDescent="0.2">
      <c r="L3760" t="str">
        <f t="shared" si="59"/>
        <v/>
      </c>
    </row>
    <row r="3761" spans="12:12" x14ac:dyDescent="0.2">
      <c r="L3761" t="str">
        <f t="shared" si="59"/>
        <v/>
      </c>
    </row>
    <row r="3762" spans="12:12" x14ac:dyDescent="0.2">
      <c r="L3762" t="str">
        <f t="shared" si="59"/>
        <v/>
      </c>
    </row>
    <row r="3763" spans="12:12" x14ac:dyDescent="0.2">
      <c r="L3763" t="str">
        <f t="shared" si="59"/>
        <v/>
      </c>
    </row>
    <row r="3764" spans="12:12" x14ac:dyDescent="0.2">
      <c r="L3764" t="str">
        <f t="shared" si="59"/>
        <v/>
      </c>
    </row>
    <row r="3765" spans="12:12" x14ac:dyDescent="0.2">
      <c r="L3765" t="str">
        <f t="shared" si="59"/>
        <v/>
      </c>
    </row>
    <row r="3766" spans="12:12" x14ac:dyDescent="0.2">
      <c r="L3766" t="str">
        <f t="shared" si="59"/>
        <v/>
      </c>
    </row>
    <row r="3767" spans="12:12" x14ac:dyDescent="0.2">
      <c r="L3767" t="str">
        <f t="shared" si="59"/>
        <v/>
      </c>
    </row>
    <row r="3768" spans="12:12" x14ac:dyDescent="0.2">
      <c r="L3768" t="str">
        <f t="shared" si="59"/>
        <v/>
      </c>
    </row>
    <row r="3769" spans="12:12" x14ac:dyDescent="0.2">
      <c r="L3769" t="str">
        <f t="shared" si="59"/>
        <v/>
      </c>
    </row>
    <row r="3770" spans="12:12" x14ac:dyDescent="0.2">
      <c r="L3770" t="str">
        <f t="shared" si="59"/>
        <v/>
      </c>
    </row>
    <row r="3771" spans="12:12" x14ac:dyDescent="0.2">
      <c r="L3771" t="str">
        <f t="shared" si="59"/>
        <v/>
      </c>
    </row>
    <row r="3772" spans="12:12" x14ac:dyDescent="0.2">
      <c r="L3772" t="str">
        <f t="shared" si="59"/>
        <v/>
      </c>
    </row>
    <row r="3773" spans="12:12" x14ac:dyDescent="0.2">
      <c r="L3773" t="str">
        <f t="shared" si="59"/>
        <v/>
      </c>
    </row>
    <row r="3774" spans="12:12" x14ac:dyDescent="0.2">
      <c r="L3774" t="str">
        <f t="shared" si="59"/>
        <v/>
      </c>
    </row>
    <row r="3775" spans="12:12" x14ac:dyDescent="0.2">
      <c r="L3775" t="str">
        <f t="shared" si="59"/>
        <v/>
      </c>
    </row>
    <row r="3776" spans="12:12" x14ac:dyDescent="0.2">
      <c r="L3776" t="str">
        <f t="shared" si="59"/>
        <v/>
      </c>
    </row>
    <row r="3777" spans="12:12" x14ac:dyDescent="0.2">
      <c r="L3777" t="str">
        <f t="shared" si="59"/>
        <v/>
      </c>
    </row>
    <row r="3778" spans="12:12" x14ac:dyDescent="0.2">
      <c r="L3778" t="str">
        <f t="shared" si="59"/>
        <v/>
      </c>
    </row>
    <row r="3779" spans="12:12" x14ac:dyDescent="0.2">
      <c r="L3779" t="str">
        <f t="shared" si="59"/>
        <v/>
      </c>
    </row>
    <row r="3780" spans="12:12" x14ac:dyDescent="0.2">
      <c r="L3780" t="str">
        <f t="shared" ref="L3780:L3843" si="60">IF(L3779&lt;$I$15,L3779+$I$16,"")</f>
        <v/>
      </c>
    </row>
    <row r="3781" spans="12:12" x14ac:dyDescent="0.2">
      <c r="L3781" t="str">
        <f t="shared" si="60"/>
        <v/>
      </c>
    </row>
    <row r="3782" spans="12:12" x14ac:dyDescent="0.2">
      <c r="L3782" t="str">
        <f t="shared" si="60"/>
        <v/>
      </c>
    </row>
    <row r="3783" spans="12:12" x14ac:dyDescent="0.2">
      <c r="L3783" t="str">
        <f t="shared" si="60"/>
        <v/>
      </c>
    </row>
    <row r="3784" spans="12:12" x14ac:dyDescent="0.2">
      <c r="L3784" t="str">
        <f t="shared" si="60"/>
        <v/>
      </c>
    </row>
    <row r="3785" spans="12:12" x14ac:dyDescent="0.2">
      <c r="L3785" t="str">
        <f t="shared" si="60"/>
        <v/>
      </c>
    </row>
    <row r="3786" spans="12:12" x14ac:dyDescent="0.2">
      <c r="L3786" t="str">
        <f t="shared" si="60"/>
        <v/>
      </c>
    </row>
    <row r="3787" spans="12:12" x14ac:dyDescent="0.2">
      <c r="L3787" t="str">
        <f t="shared" si="60"/>
        <v/>
      </c>
    </row>
    <row r="3788" spans="12:12" x14ac:dyDescent="0.2">
      <c r="L3788" t="str">
        <f t="shared" si="60"/>
        <v/>
      </c>
    </row>
    <row r="3789" spans="12:12" x14ac:dyDescent="0.2">
      <c r="L3789" t="str">
        <f t="shared" si="60"/>
        <v/>
      </c>
    </row>
    <row r="3790" spans="12:12" x14ac:dyDescent="0.2">
      <c r="L3790" t="str">
        <f t="shared" si="60"/>
        <v/>
      </c>
    </row>
    <row r="3791" spans="12:12" x14ac:dyDescent="0.2">
      <c r="L3791" t="str">
        <f t="shared" si="60"/>
        <v/>
      </c>
    </row>
    <row r="3792" spans="12:12" x14ac:dyDescent="0.2">
      <c r="L3792" t="str">
        <f t="shared" si="60"/>
        <v/>
      </c>
    </row>
    <row r="3793" spans="12:12" x14ac:dyDescent="0.2">
      <c r="L3793" t="str">
        <f t="shared" si="60"/>
        <v/>
      </c>
    </row>
    <row r="3794" spans="12:12" x14ac:dyDescent="0.2">
      <c r="L3794" t="str">
        <f t="shared" si="60"/>
        <v/>
      </c>
    </row>
    <row r="3795" spans="12:12" x14ac:dyDescent="0.2">
      <c r="L3795" t="str">
        <f t="shared" si="60"/>
        <v/>
      </c>
    </row>
    <row r="3796" spans="12:12" x14ac:dyDescent="0.2">
      <c r="L3796" t="str">
        <f t="shared" si="60"/>
        <v/>
      </c>
    </row>
    <row r="3797" spans="12:12" x14ac:dyDescent="0.2">
      <c r="L3797" t="str">
        <f t="shared" si="60"/>
        <v/>
      </c>
    </row>
    <row r="3798" spans="12:12" x14ac:dyDescent="0.2">
      <c r="L3798" t="str">
        <f t="shared" si="60"/>
        <v/>
      </c>
    </row>
    <row r="3799" spans="12:12" x14ac:dyDescent="0.2">
      <c r="L3799" t="str">
        <f t="shared" si="60"/>
        <v/>
      </c>
    </row>
    <row r="3800" spans="12:12" x14ac:dyDescent="0.2">
      <c r="L3800" t="str">
        <f t="shared" si="60"/>
        <v/>
      </c>
    </row>
    <row r="3801" spans="12:12" x14ac:dyDescent="0.2">
      <c r="L3801" t="str">
        <f t="shared" si="60"/>
        <v/>
      </c>
    </row>
    <row r="3802" spans="12:12" x14ac:dyDescent="0.2">
      <c r="L3802" t="str">
        <f t="shared" si="60"/>
        <v/>
      </c>
    </row>
    <row r="3803" spans="12:12" x14ac:dyDescent="0.2">
      <c r="L3803" t="str">
        <f t="shared" si="60"/>
        <v/>
      </c>
    </row>
    <row r="3804" spans="12:12" x14ac:dyDescent="0.2">
      <c r="L3804" t="str">
        <f t="shared" si="60"/>
        <v/>
      </c>
    </row>
    <row r="3805" spans="12:12" x14ac:dyDescent="0.2">
      <c r="L3805" t="str">
        <f t="shared" si="60"/>
        <v/>
      </c>
    </row>
    <row r="3806" spans="12:12" x14ac:dyDescent="0.2">
      <c r="L3806" t="str">
        <f t="shared" si="60"/>
        <v/>
      </c>
    </row>
    <row r="3807" spans="12:12" x14ac:dyDescent="0.2">
      <c r="L3807" t="str">
        <f t="shared" si="60"/>
        <v/>
      </c>
    </row>
    <row r="3808" spans="12:12" x14ac:dyDescent="0.2">
      <c r="L3808" t="str">
        <f t="shared" si="60"/>
        <v/>
      </c>
    </row>
    <row r="3809" spans="12:12" x14ac:dyDescent="0.2">
      <c r="L3809" t="str">
        <f t="shared" si="60"/>
        <v/>
      </c>
    </row>
    <row r="3810" spans="12:12" x14ac:dyDescent="0.2">
      <c r="L3810" t="str">
        <f t="shared" si="60"/>
        <v/>
      </c>
    </row>
    <row r="3811" spans="12:12" x14ac:dyDescent="0.2">
      <c r="L3811" t="str">
        <f t="shared" si="60"/>
        <v/>
      </c>
    </row>
    <row r="3812" spans="12:12" x14ac:dyDescent="0.2">
      <c r="L3812" t="str">
        <f t="shared" si="60"/>
        <v/>
      </c>
    </row>
    <row r="3813" spans="12:12" x14ac:dyDescent="0.2">
      <c r="L3813" t="str">
        <f t="shared" si="60"/>
        <v/>
      </c>
    </row>
    <row r="3814" spans="12:12" x14ac:dyDescent="0.2">
      <c r="L3814" t="str">
        <f t="shared" si="60"/>
        <v/>
      </c>
    </row>
    <row r="3815" spans="12:12" x14ac:dyDescent="0.2">
      <c r="L3815" t="str">
        <f t="shared" si="60"/>
        <v/>
      </c>
    </row>
    <row r="3816" spans="12:12" x14ac:dyDescent="0.2">
      <c r="L3816" t="str">
        <f t="shared" si="60"/>
        <v/>
      </c>
    </row>
    <row r="3817" spans="12:12" x14ac:dyDescent="0.2">
      <c r="L3817" t="str">
        <f t="shared" si="60"/>
        <v/>
      </c>
    </row>
    <row r="3818" spans="12:12" x14ac:dyDescent="0.2">
      <c r="L3818" t="str">
        <f t="shared" si="60"/>
        <v/>
      </c>
    </row>
    <row r="3819" spans="12:12" x14ac:dyDescent="0.2">
      <c r="L3819" t="str">
        <f t="shared" si="60"/>
        <v/>
      </c>
    </row>
    <row r="3820" spans="12:12" x14ac:dyDescent="0.2">
      <c r="L3820" t="str">
        <f t="shared" si="60"/>
        <v/>
      </c>
    </row>
    <row r="3821" spans="12:12" x14ac:dyDescent="0.2">
      <c r="L3821" t="str">
        <f t="shared" si="60"/>
        <v/>
      </c>
    </row>
    <row r="3822" spans="12:12" x14ac:dyDescent="0.2">
      <c r="L3822" t="str">
        <f t="shared" si="60"/>
        <v/>
      </c>
    </row>
    <row r="3823" spans="12:12" x14ac:dyDescent="0.2">
      <c r="L3823" t="str">
        <f t="shared" si="60"/>
        <v/>
      </c>
    </row>
    <row r="3824" spans="12:12" x14ac:dyDescent="0.2">
      <c r="L3824" t="str">
        <f t="shared" si="60"/>
        <v/>
      </c>
    </row>
    <row r="3825" spans="12:12" x14ac:dyDescent="0.2">
      <c r="L3825" t="str">
        <f t="shared" si="60"/>
        <v/>
      </c>
    </row>
    <row r="3826" spans="12:12" x14ac:dyDescent="0.2">
      <c r="L3826" t="str">
        <f t="shared" si="60"/>
        <v/>
      </c>
    </row>
    <row r="3827" spans="12:12" x14ac:dyDescent="0.2">
      <c r="L3827" t="str">
        <f t="shared" si="60"/>
        <v/>
      </c>
    </row>
    <row r="3828" spans="12:12" x14ac:dyDescent="0.2">
      <c r="L3828" t="str">
        <f t="shared" si="60"/>
        <v/>
      </c>
    </row>
    <row r="3829" spans="12:12" x14ac:dyDescent="0.2">
      <c r="L3829" t="str">
        <f t="shared" si="60"/>
        <v/>
      </c>
    </row>
    <row r="3830" spans="12:12" x14ac:dyDescent="0.2">
      <c r="L3830" t="str">
        <f t="shared" si="60"/>
        <v/>
      </c>
    </row>
    <row r="3831" spans="12:12" x14ac:dyDescent="0.2">
      <c r="L3831" t="str">
        <f t="shared" si="60"/>
        <v/>
      </c>
    </row>
    <row r="3832" spans="12:12" x14ac:dyDescent="0.2">
      <c r="L3832" t="str">
        <f t="shared" si="60"/>
        <v/>
      </c>
    </row>
    <row r="3833" spans="12:12" x14ac:dyDescent="0.2">
      <c r="L3833" t="str">
        <f t="shared" si="60"/>
        <v/>
      </c>
    </row>
    <row r="3834" spans="12:12" x14ac:dyDescent="0.2">
      <c r="L3834" t="str">
        <f t="shared" si="60"/>
        <v/>
      </c>
    </row>
    <row r="3835" spans="12:12" x14ac:dyDescent="0.2">
      <c r="L3835" t="str">
        <f t="shared" si="60"/>
        <v/>
      </c>
    </row>
    <row r="3836" spans="12:12" x14ac:dyDescent="0.2">
      <c r="L3836" t="str">
        <f t="shared" si="60"/>
        <v/>
      </c>
    </row>
    <row r="3837" spans="12:12" x14ac:dyDescent="0.2">
      <c r="L3837" t="str">
        <f t="shared" si="60"/>
        <v/>
      </c>
    </row>
    <row r="3838" spans="12:12" x14ac:dyDescent="0.2">
      <c r="L3838" t="str">
        <f t="shared" si="60"/>
        <v/>
      </c>
    </row>
    <row r="3839" spans="12:12" x14ac:dyDescent="0.2">
      <c r="L3839" t="str">
        <f t="shared" si="60"/>
        <v/>
      </c>
    </row>
    <row r="3840" spans="12:12" x14ac:dyDescent="0.2">
      <c r="L3840" t="str">
        <f t="shared" si="60"/>
        <v/>
      </c>
    </row>
    <row r="3841" spans="12:12" x14ac:dyDescent="0.2">
      <c r="L3841" t="str">
        <f t="shared" si="60"/>
        <v/>
      </c>
    </row>
    <row r="3842" spans="12:12" x14ac:dyDescent="0.2">
      <c r="L3842" t="str">
        <f t="shared" si="60"/>
        <v/>
      </c>
    </row>
    <row r="3843" spans="12:12" x14ac:dyDescent="0.2">
      <c r="L3843" t="str">
        <f t="shared" si="60"/>
        <v/>
      </c>
    </row>
    <row r="3844" spans="12:12" x14ac:dyDescent="0.2">
      <c r="L3844" t="str">
        <f t="shared" ref="L3844:L3907" si="61">IF(L3843&lt;$I$15,L3843+$I$16,"")</f>
        <v/>
      </c>
    </row>
    <row r="3845" spans="12:12" x14ac:dyDescent="0.2">
      <c r="L3845" t="str">
        <f t="shared" si="61"/>
        <v/>
      </c>
    </row>
    <row r="3846" spans="12:12" x14ac:dyDescent="0.2">
      <c r="L3846" t="str">
        <f t="shared" si="61"/>
        <v/>
      </c>
    </row>
    <row r="3847" spans="12:12" x14ac:dyDescent="0.2">
      <c r="L3847" t="str">
        <f t="shared" si="61"/>
        <v/>
      </c>
    </row>
    <row r="3848" spans="12:12" x14ac:dyDescent="0.2">
      <c r="L3848" t="str">
        <f t="shared" si="61"/>
        <v/>
      </c>
    </row>
    <row r="3849" spans="12:12" x14ac:dyDescent="0.2">
      <c r="L3849" t="str">
        <f t="shared" si="61"/>
        <v/>
      </c>
    </row>
    <row r="3850" spans="12:12" x14ac:dyDescent="0.2">
      <c r="L3850" t="str">
        <f t="shared" si="61"/>
        <v/>
      </c>
    </row>
    <row r="3851" spans="12:12" x14ac:dyDescent="0.2">
      <c r="L3851" t="str">
        <f t="shared" si="61"/>
        <v/>
      </c>
    </row>
    <row r="3852" spans="12:12" x14ac:dyDescent="0.2">
      <c r="L3852" t="str">
        <f t="shared" si="61"/>
        <v/>
      </c>
    </row>
    <row r="3853" spans="12:12" x14ac:dyDescent="0.2">
      <c r="L3853" t="str">
        <f t="shared" si="61"/>
        <v/>
      </c>
    </row>
    <row r="3854" spans="12:12" x14ac:dyDescent="0.2">
      <c r="L3854" t="str">
        <f t="shared" si="61"/>
        <v/>
      </c>
    </row>
    <row r="3855" spans="12:12" x14ac:dyDescent="0.2">
      <c r="L3855" t="str">
        <f t="shared" si="61"/>
        <v/>
      </c>
    </row>
    <row r="3856" spans="12:12" x14ac:dyDescent="0.2">
      <c r="L3856" t="str">
        <f t="shared" si="61"/>
        <v/>
      </c>
    </row>
    <row r="3857" spans="12:12" x14ac:dyDescent="0.2">
      <c r="L3857" t="str">
        <f t="shared" si="61"/>
        <v/>
      </c>
    </row>
    <row r="3858" spans="12:12" x14ac:dyDescent="0.2">
      <c r="L3858" t="str">
        <f t="shared" si="61"/>
        <v/>
      </c>
    </row>
    <row r="3859" spans="12:12" x14ac:dyDescent="0.2">
      <c r="L3859" t="str">
        <f t="shared" si="61"/>
        <v/>
      </c>
    </row>
    <row r="3860" spans="12:12" x14ac:dyDescent="0.2">
      <c r="L3860" t="str">
        <f t="shared" si="61"/>
        <v/>
      </c>
    </row>
    <row r="3861" spans="12:12" x14ac:dyDescent="0.2">
      <c r="L3861" t="str">
        <f t="shared" si="61"/>
        <v/>
      </c>
    </row>
    <row r="3862" spans="12:12" x14ac:dyDescent="0.2">
      <c r="L3862" t="str">
        <f t="shared" si="61"/>
        <v/>
      </c>
    </row>
    <row r="3863" spans="12:12" x14ac:dyDescent="0.2">
      <c r="L3863" t="str">
        <f t="shared" si="61"/>
        <v/>
      </c>
    </row>
    <row r="3864" spans="12:12" x14ac:dyDescent="0.2">
      <c r="L3864" t="str">
        <f t="shared" si="61"/>
        <v/>
      </c>
    </row>
    <row r="3865" spans="12:12" x14ac:dyDescent="0.2">
      <c r="L3865" t="str">
        <f t="shared" si="61"/>
        <v/>
      </c>
    </row>
    <row r="3866" spans="12:12" x14ac:dyDescent="0.2">
      <c r="L3866" t="str">
        <f t="shared" si="61"/>
        <v/>
      </c>
    </row>
    <row r="3867" spans="12:12" x14ac:dyDescent="0.2">
      <c r="L3867" t="str">
        <f t="shared" si="61"/>
        <v/>
      </c>
    </row>
    <row r="3868" spans="12:12" x14ac:dyDescent="0.2">
      <c r="L3868" t="str">
        <f t="shared" si="61"/>
        <v/>
      </c>
    </row>
    <row r="3869" spans="12:12" x14ac:dyDescent="0.2">
      <c r="L3869" t="str">
        <f t="shared" si="61"/>
        <v/>
      </c>
    </row>
    <row r="3870" spans="12:12" x14ac:dyDescent="0.2">
      <c r="L3870" t="str">
        <f t="shared" si="61"/>
        <v/>
      </c>
    </row>
    <row r="3871" spans="12:12" x14ac:dyDescent="0.2">
      <c r="L3871" t="str">
        <f t="shared" si="61"/>
        <v/>
      </c>
    </row>
    <row r="3872" spans="12:12" x14ac:dyDescent="0.2">
      <c r="L3872" t="str">
        <f t="shared" si="61"/>
        <v/>
      </c>
    </row>
    <row r="3873" spans="12:12" x14ac:dyDescent="0.2">
      <c r="L3873" t="str">
        <f t="shared" si="61"/>
        <v/>
      </c>
    </row>
    <row r="3874" spans="12:12" x14ac:dyDescent="0.2">
      <c r="L3874" t="str">
        <f t="shared" si="61"/>
        <v/>
      </c>
    </row>
    <row r="3875" spans="12:12" x14ac:dyDescent="0.2">
      <c r="L3875" t="str">
        <f t="shared" si="61"/>
        <v/>
      </c>
    </row>
    <row r="3876" spans="12:12" x14ac:dyDescent="0.2">
      <c r="L3876" t="str">
        <f t="shared" si="61"/>
        <v/>
      </c>
    </row>
    <row r="3877" spans="12:12" x14ac:dyDescent="0.2">
      <c r="L3877" t="str">
        <f t="shared" si="61"/>
        <v/>
      </c>
    </row>
    <row r="3878" spans="12:12" x14ac:dyDescent="0.2">
      <c r="L3878" t="str">
        <f t="shared" si="61"/>
        <v/>
      </c>
    </row>
    <row r="3879" spans="12:12" x14ac:dyDescent="0.2">
      <c r="L3879" t="str">
        <f t="shared" si="61"/>
        <v/>
      </c>
    </row>
    <row r="3880" spans="12:12" x14ac:dyDescent="0.2">
      <c r="L3880" t="str">
        <f t="shared" si="61"/>
        <v/>
      </c>
    </row>
    <row r="3881" spans="12:12" x14ac:dyDescent="0.2">
      <c r="L3881" t="str">
        <f t="shared" si="61"/>
        <v/>
      </c>
    </row>
    <row r="3882" spans="12:12" x14ac:dyDescent="0.2">
      <c r="L3882" t="str">
        <f t="shared" si="61"/>
        <v/>
      </c>
    </row>
    <row r="3883" spans="12:12" x14ac:dyDescent="0.2">
      <c r="L3883" t="str">
        <f t="shared" si="61"/>
        <v/>
      </c>
    </row>
    <row r="3884" spans="12:12" x14ac:dyDescent="0.2">
      <c r="L3884" t="str">
        <f t="shared" si="61"/>
        <v/>
      </c>
    </row>
    <row r="3885" spans="12:12" x14ac:dyDescent="0.2">
      <c r="L3885" t="str">
        <f t="shared" si="61"/>
        <v/>
      </c>
    </row>
    <row r="3886" spans="12:12" x14ac:dyDescent="0.2">
      <c r="L3886" t="str">
        <f t="shared" si="61"/>
        <v/>
      </c>
    </row>
    <row r="3887" spans="12:12" x14ac:dyDescent="0.2">
      <c r="L3887" t="str">
        <f t="shared" si="61"/>
        <v/>
      </c>
    </row>
    <row r="3888" spans="12:12" x14ac:dyDescent="0.2">
      <c r="L3888" t="str">
        <f t="shared" si="61"/>
        <v/>
      </c>
    </row>
    <row r="3889" spans="12:12" x14ac:dyDescent="0.2">
      <c r="L3889" t="str">
        <f t="shared" si="61"/>
        <v/>
      </c>
    </row>
    <row r="3890" spans="12:12" x14ac:dyDescent="0.2">
      <c r="L3890" t="str">
        <f t="shared" si="61"/>
        <v/>
      </c>
    </row>
    <row r="3891" spans="12:12" x14ac:dyDescent="0.2">
      <c r="L3891" t="str">
        <f t="shared" si="61"/>
        <v/>
      </c>
    </row>
    <row r="3892" spans="12:12" x14ac:dyDescent="0.2">
      <c r="L3892" t="str">
        <f t="shared" si="61"/>
        <v/>
      </c>
    </row>
    <row r="3893" spans="12:12" x14ac:dyDescent="0.2">
      <c r="L3893" t="str">
        <f t="shared" si="61"/>
        <v/>
      </c>
    </row>
    <row r="3894" spans="12:12" x14ac:dyDescent="0.2">
      <c r="L3894" t="str">
        <f t="shared" si="61"/>
        <v/>
      </c>
    </row>
    <row r="3895" spans="12:12" x14ac:dyDescent="0.2">
      <c r="L3895" t="str">
        <f t="shared" si="61"/>
        <v/>
      </c>
    </row>
    <row r="3896" spans="12:12" x14ac:dyDescent="0.2">
      <c r="L3896" t="str">
        <f t="shared" si="61"/>
        <v/>
      </c>
    </row>
    <row r="3897" spans="12:12" x14ac:dyDescent="0.2">
      <c r="L3897" t="str">
        <f t="shared" si="61"/>
        <v/>
      </c>
    </row>
    <row r="3898" spans="12:12" x14ac:dyDescent="0.2">
      <c r="L3898" t="str">
        <f t="shared" si="61"/>
        <v/>
      </c>
    </row>
    <row r="3899" spans="12:12" x14ac:dyDescent="0.2">
      <c r="L3899" t="str">
        <f t="shared" si="61"/>
        <v/>
      </c>
    </row>
    <row r="3900" spans="12:12" x14ac:dyDescent="0.2">
      <c r="L3900" t="str">
        <f t="shared" si="61"/>
        <v/>
      </c>
    </row>
    <row r="3901" spans="12:12" x14ac:dyDescent="0.2">
      <c r="L3901" t="str">
        <f t="shared" si="61"/>
        <v/>
      </c>
    </row>
    <row r="3902" spans="12:12" x14ac:dyDescent="0.2">
      <c r="L3902" t="str">
        <f t="shared" si="61"/>
        <v/>
      </c>
    </row>
    <row r="3903" spans="12:12" x14ac:dyDescent="0.2">
      <c r="L3903" t="str">
        <f t="shared" si="61"/>
        <v/>
      </c>
    </row>
    <row r="3904" spans="12:12" x14ac:dyDescent="0.2">
      <c r="L3904" t="str">
        <f t="shared" si="61"/>
        <v/>
      </c>
    </row>
    <row r="3905" spans="12:12" x14ac:dyDescent="0.2">
      <c r="L3905" t="str">
        <f t="shared" si="61"/>
        <v/>
      </c>
    </row>
    <row r="3906" spans="12:12" x14ac:dyDescent="0.2">
      <c r="L3906" t="str">
        <f t="shared" si="61"/>
        <v/>
      </c>
    </row>
    <row r="3907" spans="12:12" x14ac:dyDescent="0.2">
      <c r="L3907" t="str">
        <f t="shared" si="61"/>
        <v/>
      </c>
    </row>
    <row r="3908" spans="12:12" x14ac:dyDescent="0.2">
      <c r="L3908" t="str">
        <f t="shared" ref="L3908:L3971" si="62">IF(L3907&lt;$I$15,L3907+$I$16,"")</f>
        <v/>
      </c>
    </row>
    <row r="3909" spans="12:12" x14ac:dyDescent="0.2">
      <c r="L3909" t="str">
        <f t="shared" si="62"/>
        <v/>
      </c>
    </row>
    <row r="3910" spans="12:12" x14ac:dyDescent="0.2">
      <c r="L3910" t="str">
        <f t="shared" si="62"/>
        <v/>
      </c>
    </row>
    <row r="3911" spans="12:12" x14ac:dyDescent="0.2">
      <c r="L3911" t="str">
        <f t="shared" si="62"/>
        <v/>
      </c>
    </row>
    <row r="3912" spans="12:12" x14ac:dyDescent="0.2">
      <c r="L3912" t="str">
        <f t="shared" si="62"/>
        <v/>
      </c>
    </row>
    <row r="3913" spans="12:12" x14ac:dyDescent="0.2">
      <c r="L3913" t="str">
        <f t="shared" si="62"/>
        <v/>
      </c>
    </row>
    <row r="3914" spans="12:12" x14ac:dyDescent="0.2">
      <c r="L3914" t="str">
        <f t="shared" si="62"/>
        <v/>
      </c>
    </row>
    <row r="3915" spans="12:12" x14ac:dyDescent="0.2">
      <c r="L3915" t="str">
        <f t="shared" si="62"/>
        <v/>
      </c>
    </row>
    <row r="3916" spans="12:12" x14ac:dyDescent="0.2">
      <c r="L3916" t="str">
        <f t="shared" si="62"/>
        <v/>
      </c>
    </row>
    <row r="3917" spans="12:12" x14ac:dyDescent="0.2">
      <c r="L3917" t="str">
        <f t="shared" si="62"/>
        <v/>
      </c>
    </row>
    <row r="3918" spans="12:12" x14ac:dyDescent="0.2">
      <c r="L3918" t="str">
        <f t="shared" si="62"/>
        <v/>
      </c>
    </row>
    <row r="3919" spans="12:12" x14ac:dyDescent="0.2">
      <c r="L3919" t="str">
        <f t="shared" si="62"/>
        <v/>
      </c>
    </row>
    <row r="3920" spans="12:12" x14ac:dyDescent="0.2">
      <c r="L3920" t="str">
        <f t="shared" si="62"/>
        <v/>
      </c>
    </row>
    <row r="3921" spans="12:12" x14ac:dyDescent="0.2">
      <c r="L3921" t="str">
        <f t="shared" si="62"/>
        <v/>
      </c>
    </row>
    <row r="3922" spans="12:12" x14ac:dyDescent="0.2">
      <c r="L3922" t="str">
        <f t="shared" si="62"/>
        <v/>
      </c>
    </row>
    <row r="3923" spans="12:12" x14ac:dyDescent="0.2">
      <c r="L3923" t="str">
        <f t="shared" si="62"/>
        <v/>
      </c>
    </row>
    <row r="3924" spans="12:12" x14ac:dyDescent="0.2">
      <c r="L3924" t="str">
        <f t="shared" si="62"/>
        <v/>
      </c>
    </row>
    <row r="3925" spans="12:12" x14ac:dyDescent="0.2">
      <c r="L3925" t="str">
        <f t="shared" si="62"/>
        <v/>
      </c>
    </row>
    <row r="3926" spans="12:12" x14ac:dyDescent="0.2">
      <c r="L3926" t="str">
        <f t="shared" si="62"/>
        <v/>
      </c>
    </row>
    <row r="3927" spans="12:12" x14ac:dyDescent="0.2">
      <c r="L3927" t="str">
        <f t="shared" si="62"/>
        <v/>
      </c>
    </row>
    <row r="3928" spans="12:12" x14ac:dyDescent="0.2">
      <c r="L3928" t="str">
        <f t="shared" si="62"/>
        <v/>
      </c>
    </row>
    <row r="3929" spans="12:12" x14ac:dyDescent="0.2">
      <c r="L3929" t="str">
        <f t="shared" si="62"/>
        <v/>
      </c>
    </row>
    <row r="3930" spans="12:12" x14ac:dyDescent="0.2">
      <c r="L3930" t="str">
        <f t="shared" si="62"/>
        <v/>
      </c>
    </row>
    <row r="3931" spans="12:12" x14ac:dyDescent="0.2">
      <c r="L3931" t="str">
        <f t="shared" si="62"/>
        <v/>
      </c>
    </row>
    <row r="3932" spans="12:12" x14ac:dyDescent="0.2">
      <c r="L3932" t="str">
        <f t="shared" si="62"/>
        <v/>
      </c>
    </row>
    <row r="3933" spans="12:12" x14ac:dyDescent="0.2">
      <c r="L3933" t="str">
        <f t="shared" si="62"/>
        <v/>
      </c>
    </row>
    <row r="3934" spans="12:12" x14ac:dyDescent="0.2">
      <c r="L3934" t="str">
        <f t="shared" si="62"/>
        <v/>
      </c>
    </row>
    <row r="3935" spans="12:12" x14ac:dyDescent="0.2">
      <c r="L3935" t="str">
        <f t="shared" si="62"/>
        <v/>
      </c>
    </row>
    <row r="3936" spans="12:12" x14ac:dyDescent="0.2">
      <c r="L3936" t="str">
        <f t="shared" si="62"/>
        <v/>
      </c>
    </row>
    <row r="3937" spans="12:12" x14ac:dyDescent="0.2">
      <c r="L3937" t="str">
        <f t="shared" si="62"/>
        <v/>
      </c>
    </row>
    <row r="3938" spans="12:12" x14ac:dyDescent="0.2">
      <c r="L3938" t="str">
        <f t="shared" si="62"/>
        <v/>
      </c>
    </row>
    <row r="3939" spans="12:12" x14ac:dyDescent="0.2">
      <c r="L3939" t="str">
        <f t="shared" si="62"/>
        <v/>
      </c>
    </row>
    <row r="3940" spans="12:12" x14ac:dyDescent="0.2">
      <c r="L3940" t="str">
        <f t="shared" si="62"/>
        <v/>
      </c>
    </row>
    <row r="3941" spans="12:12" x14ac:dyDescent="0.2">
      <c r="L3941" t="str">
        <f t="shared" si="62"/>
        <v/>
      </c>
    </row>
    <row r="3942" spans="12:12" x14ac:dyDescent="0.2">
      <c r="L3942" t="str">
        <f t="shared" si="62"/>
        <v/>
      </c>
    </row>
    <row r="3943" spans="12:12" x14ac:dyDescent="0.2">
      <c r="L3943" t="str">
        <f t="shared" si="62"/>
        <v/>
      </c>
    </row>
    <row r="3944" spans="12:12" x14ac:dyDescent="0.2">
      <c r="L3944" t="str">
        <f t="shared" si="62"/>
        <v/>
      </c>
    </row>
    <row r="3945" spans="12:12" x14ac:dyDescent="0.2">
      <c r="L3945" t="str">
        <f t="shared" si="62"/>
        <v/>
      </c>
    </row>
    <row r="3946" spans="12:12" x14ac:dyDescent="0.2">
      <c r="L3946" t="str">
        <f t="shared" si="62"/>
        <v/>
      </c>
    </row>
    <row r="3947" spans="12:12" x14ac:dyDescent="0.2">
      <c r="L3947" t="str">
        <f t="shared" si="62"/>
        <v/>
      </c>
    </row>
    <row r="3948" spans="12:12" x14ac:dyDescent="0.2">
      <c r="L3948" t="str">
        <f t="shared" si="62"/>
        <v/>
      </c>
    </row>
    <row r="3949" spans="12:12" x14ac:dyDescent="0.2">
      <c r="L3949" t="str">
        <f t="shared" si="62"/>
        <v/>
      </c>
    </row>
    <row r="3950" spans="12:12" x14ac:dyDescent="0.2">
      <c r="L3950" t="str">
        <f t="shared" si="62"/>
        <v/>
      </c>
    </row>
    <row r="3951" spans="12:12" x14ac:dyDescent="0.2">
      <c r="L3951" t="str">
        <f t="shared" si="62"/>
        <v/>
      </c>
    </row>
    <row r="3952" spans="12:12" x14ac:dyDescent="0.2">
      <c r="L3952" t="str">
        <f t="shared" si="62"/>
        <v/>
      </c>
    </row>
    <row r="3953" spans="12:12" x14ac:dyDescent="0.2">
      <c r="L3953" t="str">
        <f t="shared" si="62"/>
        <v/>
      </c>
    </row>
    <row r="3954" spans="12:12" x14ac:dyDescent="0.2">
      <c r="L3954" t="str">
        <f t="shared" si="62"/>
        <v/>
      </c>
    </row>
    <row r="3955" spans="12:12" x14ac:dyDescent="0.2">
      <c r="L3955" t="str">
        <f t="shared" si="62"/>
        <v/>
      </c>
    </row>
    <row r="3956" spans="12:12" x14ac:dyDescent="0.2">
      <c r="L3956" t="str">
        <f t="shared" si="62"/>
        <v/>
      </c>
    </row>
    <row r="3957" spans="12:12" x14ac:dyDescent="0.2">
      <c r="L3957" t="str">
        <f t="shared" si="62"/>
        <v/>
      </c>
    </row>
    <row r="3958" spans="12:12" x14ac:dyDescent="0.2">
      <c r="L3958" t="str">
        <f t="shared" si="62"/>
        <v/>
      </c>
    </row>
    <row r="3959" spans="12:12" x14ac:dyDescent="0.2">
      <c r="L3959" t="str">
        <f t="shared" si="62"/>
        <v/>
      </c>
    </row>
    <row r="3960" spans="12:12" x14ac:dyDescent="0.2">
      <c r="L3960" t="str">
        <f t="shared" si="62"/>
        <v/>
      </c>
    </row>
    <row r="3961" spans="12:12" x14ac:dyDescent="0.2">
      <c r="L3961" t="str">
        <f t="shared" si="62"/>
        <v/>
      </c>
    </row>
    <row r="3962" spans="12:12" x14ac:dyDescent="0.2">
      <c r="L3962" t="str">
        <f t="shared" si="62"/>
        <v/>
      </c>
    </row>
    <row r="3963" spans="12:12" x14ac:dyDescent="0.2">
      <c r="L3963" t="str">
        <f t="shared" si="62"/>
        <v/>
      </c>
    </row>
    <row r="3964" spans="12:12" x14ac:dyDescent="0.2">
      <c r="L3964" t="str">
        <f t="shared" si="62"/>
        <v/>
      </c>
    </row>
    <row r="3965" spans="12:12" x14ac:dyDescent="0.2">
      <c r="L3965" t="str">
        <f t="shared" si="62"/>
        <v/>
      </c>
    </row>
    <row r="3966" spans="12:12" x14ac:dyDescent="0.2">
      <c r="L3966" t="str">
        <f t="shared" si="62"/>
        <v/>
      </c>
    </row>
    <row r="3967" spans="12:12" x14ac:dyDescent="0.2">
      <c r="L3967" t="str">
        <f t="shared" si="62"/>
        <v/>
      </c>
    </row>
    <row r="3968" spans="12:12" x14ac:dyDescent="0.2">
      <c r="L3968" t="str">
        <f t="shared" si="62"/>
        <v/>
      </c>
    </row>
    <row r="3969" spans="12:12" x14ac:dyDescent="0.2">
      <c r="L3969" t="str">
        <f t="shared" si="62"/>
        <v/>
      </c>
    </row>
    <row r="3970" spans="12:12" x14ac:dyDescent="0.2">
      <c r="L3970" t="str">
        <f t="shared" si="62"/>
        <v/>
      </c>
    </row>
    <row r="3971" spans="12:12" x14ac:dyDescent="0.2">
      <c r="L3971" t="str">
        <f t="shared" si="62"/>
        <v/>
      </c>
    </row>
    <row r="3972" spans="12:12" x14ac:dyDescent="0.2">
      <c r="L3972" t="str">
        <f t="shared" ref="L3972:L4035" si="63">IF(L3971&lt;$I$15,L3971+$I$16,"")</f>
        <v/>
      </c>
    </row>
    <row r="3973" spans="12:12" x14ac:dyDescent="0.2">
      <c r="L3973" t="str">
        <f t="shared" si="63"/>
        <v/>
      </c>
    </row>
    <row r="3974" spans="12:12" x14ac:dyDescent="0.2">
      <c r="L3974" t="str">
        <f t="shared" si="63"/>
        <v/>
      </c>
    </row>
    <row r="3975" spans="12:12" x14ac:dyDescent="0.2">
      <c r="L3975" t="str">
        <f t="shared" si="63"/>
        <v/>
      </c>
    </row>
    <row r="3976" spans="12:12" x14ac:dyDescent="0.2">
      <c r="L3976" t="str">
        <f t="shared" si="63"/>
        <v/>
      </c>
    </row>
    <row r="3977" spans="12:12" x14ac:dyDescent="0.2">
      <c r="L3977" t="str">
        <f t="shared" si="63"/>
        <v/>
      </c>
    </row>
    <row r="3978" spans="12:12" x14ac:dyDescent="0.2">
      <c r="L3978" t="str">
        <f t="shared" si="63"/>
        <v/>
      </c>
    </row>
    <row r="3979" spans="12:12" x14ac:dyDescent="0.2">
      <c r="L3979" t="str">
        <f t="shared" si="63"/>
        <v/>
      </c>
    </row>
    <row r="3980" spans="12:12" x14ac:dyDescent="0.2">
      <c r="L3980" t="str">
        <f t="shared" si="63"/>
        <v/>
      </c>
    </row>
    <row r="3981" spans="12:12" x14ac:dyDescent="0.2">
      <c r="L3981" t="str">
        <f t="shared" si="63"/>
        <v/>
      </c>
    </row>
    <row r="3982" spans="12:12" x14ac:dyDescent="0.2">
      <c r="L3982" t="str">
        <f t="shared" si="63"/>
        <v/>
      </c>
    </row>
    <row r="3983" spans="12:12" x14ac:dyDescent="0.2">
      <c r="L3983" t="str">
        <f t="shared" si="63"/>
        <v/>
      </c>
    </row>
    <row r="3984" spans="12:12" x14ac:dyDescent="0.2">
      <c r="L3984" t="str">
        <f t="shared" si="63"/>
        <v/>
      </c>
    </row>
    <row r="3985" spans="12:12" x14ac:dyDescent="0.2">
      <c r="L3985" t="str">
        <f t="shared" si="63"/>
        <v/>
      </c>
    </row>
    <row r="3986" spans="12:12" x14ac:dyDescent="0.2">
      <c r="L3986" t="str">
        <f t="shared" si="63"/>
        <v/>
      </c>
    </row>
    <row r="3987" spans="12:12" x14ac:dyDescent="0.2">
      <c r="L3987" t="str">
        <f t="shared" si="63"/>
        <v/>
      </c>
    </row>
    <row r="3988" spans="12:12" x14ac:dyDescent="0.2">
      <c r="L3988" t="str">
        <f t="shared" si="63"/>
        <v/>
      </c>
    </row>
    <row r="3989" spans="12:12" x14ac:dyDescent="0.2">
      <c r="L3989" t="str">
        <f t="shared" si="63"/>
        <v/>
      </c>
    </row>
    <row r="3990" spans="12:12" x14ac:dyDescent="0.2">
      <c r="L3990" t="str">
        <f t="shared" si="63"/>
        <v/>
      </c>
    </row>
    <row r="3991" spans="12:12" x14ac:dyDescent="0.2">
      <c r="L3991" t="str">
        <f t="shared" si="63"/>
        <v/>
      </c>
    </row>
    <row r="3992" spans="12:12" x14ac:dyDescent="0.2">
      <c r="L3992" t="str">
        <f t="shared" si="63"/>
        <v/>
      </c>
    </row>
    <row r="3993" spans="12:12" x14ac:dyDescent="0.2">
      <c r="L3993" t="str">
        <f t="shared" si="63"/>
        <v/>
      </c>
    </row>
    <row r="3994" spans="12:12" x14ac:dyDescent="0.2">
      <c r="L3994" t="str">
        <f t="shared" si="63"/>
        <v/>
      </c>
    </row>
    <row r="3995" spans="12:12" x14ac:dyDescent="0.2">
      <c r="L3995" t="str">
        <f t="shared" si="63"/>
        <v/>
      </c>
    </row>
    <row r="3996" spans="12:12" x14ac:dyDescent="0.2">
      <c r="L3996" t="str">
        <f t="shared" si="63"/>
        <v/>
      </c>
    </row>
    <row r="3997" spans="12:12" x14ac:dyDescent="0.2">
      <c r="L3997" t="str">
        <f t="shared" si="63"/>
        <v/>
      </c>
    </row>
    <row r="3998" spans="12:12" x14ac:dyDescent="0.2">
      <c r="L3998" t="str">
        <f t="shared" si="63"/>
        <v/>
      </c>
    </row>
    <row r="3999" spans="12:12" x14ac:dyDescent="0.2">
      <c r="L3999" t="str">
        <f t="shared" si="63"/>
        <v/>
      </c>
    </row>
    <row r="4000" spans="12:12" x14ac:dyDescent="0.2">
      <c r="L4000" t="str">
        <f t="shared" si="63"/>
        <v/>
      </c>
    </row>
    <row r="4001" spans="12:12" x14ac:dyDescent="0.2">
      <c r="L4001" t="str">
        <f t="shared" si="63"/>
        <v/>
      </c>
    </row>
    <row r="4002" spans="12:12" x14ac:dyDescent="0.2">
      <c r="L4002" t="str">
        <f t="shared" si="63"/>
        <v/>
      </c>
    </row>
    <row r="4003" spans="12:12" x14ac:dyDescent="0.2">
      <c r="L4003" t="str">
        <f t="shared" si="63"/>
        <v/>
      </c>
    </row>
    <row r="4004" spans="12:12" x14ac:dyDescent="0.2">
      <c r="L4004" t="str">
        <f t="shared" si="63"/>
        <v/>
      </c>
    </row>
    <row r="4005" spans="12:12" x14ac:dyDescent="0.2">
      <c r="L4005" t="str">
        <f t="shared" si="63"/>
        <v/>
      </c>
    </row>
    <row r="4006" spans="12:12" x14ac:dyDescent="0.2">
      <c r="L4006" t="str">
        <f t="shared" si="63"/>
        <v/>
      </c>
    </row>
    <row r="4007" spans="12:12" x14ac:dyDescent="0.2">
      <c r="L4007" t="str">
        <f t="shared" si="63"/>
        <v/>
      </c>
    </row>
    <row r="4008" spans="12:12" x14ac:dyDescent="0.2">
      <c r="L4008" t="str">
        <f t="shared" si="63"/>
        <v/>
      </c>
    </row>
    <row r="4009" spans="12:12" x14ac:dyDescent="0.2">
      <c r="L4009" t="str">
        <f t="shared" si="63"/>
        <v/>
      </c>
    </row>
    <row r="4010" spans="12:12" x14ac:dyDescent="0.2">
      <c r="L4010" t="str">
        <f t="shared" si="63"/>
        <v/>
      </c>
    </row>
    <row r="4011" spans="12:12" x14ac:dyDescent="0.2">
      <c r="L4011" t="str">
        <f t="shared" si="63"/>
        <v/>
      </c>
    </row>
    <row r="4012" spans="12:12" x14ac:dyDescent="0.2">
      <c r="L4012" t="str">
        <f t="shared" si="63"/>
        <v/>
      </c>
    </row>
    <row r="4013" spans="12:12" x14ac:dyDescent="0.2">
      <c r="L4013" t="str">
        <f t="shared" si="63"/>
        <v/>
      </c>
    </row>
    <row r="4014" spans="12:12" x14ac:dyDescent="0.2">
      <c r="L4014" t="str">
        <f t="shared" si="63"/>
        <v/>
      </c>
    </row>
    <row r="4015" spans="12:12" x14ac:dyDescent="0.2">
      <c r="L4015" t="str">
        <f t="shared" si="63"/>
        <v/>
      </c>
    </row>
    <row r="4016" spans="12:12" x14ac:dyDescent="0.2">
      <c r="L4016" t="str">
        <f t="shared" si="63"/>
        <v/>
      </c>
    </row>
    <row r="4017" spans="12:12" x14ac:dyDescent="0.2">
      <c r="L4017" t="str">
        <f t="shared" si="63"/>
        <v/>
      </c>
    </row>
    <row r="4018" spans="12:12" x14ac:dyDescent="0.2">
      <c r="L4018" t="str">
        <f t="shared" si="63"/>
        <v/>
      </c>
    </row>
    <row r="4019" spans="12:12" x14ac:dyDescent="0.2">
      <c r="L4019" t="str">
        <f t="shared" si="63"/>
        <v/>
      </c>
    </row>
    <row r="4020" spans="12:12" x14ac:dyDescent="0.2">
      <c r="L4020" t="str">
        <f t="shared" si="63"/>
        <v/>
      </c>
    </row>
    <row r="4021" spans="12:12" x14ac:dyDescent="0.2">
      <c r="L4021" t="str">
        <f t="shared" si="63"/>
        <v/>
      </c>
    </row>
    <row r="4022" spans="12:12" x14ac:dyDescent="0.2">
      <c r="L4022" t="str">
        <f t="shared" si="63"/>
        <v/>
      </c>
    </row>
    <row r="4023" spans="12:12" x14ac:dyDescent="0.2">
      <c r="L4023" t="str">
        <f t="shared" si="63"/>
        <v/>
      </c>
    </row>
    <row r="4024" spans="12:12" x14ac:dyDescent="0.2">
      <c r="L4024" t="str">
        <f t="shared" si="63"/>
        <v/>
      </c>
    </row>
    <row r="4025" spans="12:12" x14ac:dyDescent="0.2">
      <c r="L4025" t="str">
        <f t="shared" si="63"/>
        <v/>
      </c>
    </row>
    <row r="4026" spans="12:12" x14ac:dyDescent="0.2">
      <c r="L4026" t="str">
        <f t="shared" si="63"/>
        <v/>
      </c>
    </row>
    <row r="4027" spans="12:12" x14ac:dyDescent="0.2">
      <c r="L4027" t="str">
        <f t="shared" si="63"/>
        <v/>
      </c>
    </row>
    <row r="4028" spans="12:12" x14ac:dyDescent="0.2">
      <c r="L4028" t="str">
        <f t="shared" si="63"/>
        <v/>
      </c>
    </row>
    <row r="4029" spans="12:12" x14ac:dyDescent="0.2">
      <c r="L4029" t="str">
        <f t="shared" si="63"/>
        <v/>
      </c>
    </row>
    <row r="4030" spans="12:12" x14ac:dyDescent="0.2">
      <c r="L4030" t="str">
        <f t="shared" si="63"/>
        <v/>
      </c>
    </row>
    <row r="4031" spans="12:12" x14ac:dyDescent="0.2">
      <c r="L4031" t="str">
        <f t="shared" si="63"/>
        <v/>
      </c>
    </row>
    <row r="4032" spans="12:12" x14ac:dyDescent="0.2">
      <c r="L4032" t="str">
        <f t="shared" si="63"/>
        <v/>
      </c>
    </row>
    <row r="4033" spans="12:12" x14ac:dyDescent="0.2">
      <c r="L4033" t="str">
        <f t="shared" si="63"/>
        <v/>
      </c>
    </row>
    <row r="4034" spans="12:12" x14ac:dyDescent="0.2">
      <c r="L4034" t="str">
        <f t="shared" si="63"/>
        <v/>
      </c>
    </row>
    <row r="4035" spans="12:12" x14ac:dyDescent="0.2">
      <c r="L4035" t="str">
        <f t="shared" si="63"/>
        <v/>
      </c>
    </row>
    <row r="4036" spans="12:12" x14ac:dyDescent="0.2">
      <c r="L4036" t="str">
        <f t="shared" ref="L4036:L4099" si="64">IF(L4035&lt;$I$15,L4035+$I$16,"")</f>
        <v/>
      </c>
    </row>
    <row r="4037" spans="12:12" x14ac:dyDescent="0.2">
      <c r="L4037" t="str">
        <f t="shared" si="64"/>
        <v/>
      </c>
    </row>
    <row r="4038" spans="12:12" x14ac:dyDescent="0.2">
      <c r="L4038" t="str">
        <f t="shared" si="64"/>
        <v/>
      </c>
    </row>
    <row r="4039" spans="12:12" x14ac:dyDescent="0.2">
      <c r="L4039" t="str">
        <f t="shared" si="64"/>
        <v/>
      </c>
    </row>
    <row r="4040" spans="12:12" x14ac:dyDescent="0.2">
      <c r="L4040" t="str">
        <f t="shared" si="64"/>
        <v/>
      </c>
    </row>
    <row r="4041" spans="12:12" x14ac:dyDescent="0.2">
      <c r="L4041" t="str">
        <f t="shared" si="64"/>
        <v/>
      </c>
    </row>
    <row r="4042" spans="12:12" x14ac:dyDescent="0.2">
      <c r="L4042" t="str">
        <f t="shared" si="64"/>
        <v/>
      </c>
    </row>
    <row r="4043" spans="12:12" x14ac:dyDescent="0.2">
      <c r="L4043" t="str">
        <f t="shared" si="64"/>
        <v/>
      </c>
    </row>
    <row r="4044" spans="12:12" x14ac:dyDescent="0.2">
      <c r="L4044" t="str">
        <f t="shared" si="64"/>
        <v/>
      </c>
    </row>
    <row r="4045" spans="12:12" x14ac:dyDescent="0.2">
      <c r="L4045" t="str">
        <f t="shared" si="64"/>
        <v/>
      </c>
    </row>
    <row r="4046" spans="12:12" x14ac:dyDescent="0.2">
      <c r="L4046" t="str">
        <f t="shared" si="64"/>
        <v/>
      </c>
    </row>
    <row r="4047" spans="12:12" x14ac:dyDescent="0.2">
      <c r="L4047" t="str">
        <f t="shared" si="64"/>
        <v/>
      </c>
    </row>
    <row r="4048" spans="12:12" x14ac:dyDescent="0.2">
      <c r="L4048" t="str">
        <f t="shared" si="64"/>
        <v/>
      </c>
    </row>
    <row r="4049" spans="12:12" x14ac:dyDescent="0.2">
      <c r="L4049" t="str">
        <f t="shared" si="64"/>
        <v/>
      </c>
    </row>
    <row r="4050" spans="12:12" x14ac:dyDescent="0.2">
      <c r="L4050" t="str">
        <f t="shared" si="64"/>
        <v/>
      </c>
    </row>
    <row r="4051" spans="12:12" x14ac:dyDescent="0.2">
      <c r="L4051" t="str">
        <f t="shared" si="64"/>
        <v/>
      </c>
    </row>
    <row r="4052" spans="12:12" x14ac:dyDescent="0.2">
      <c r="L4052" t="str">
        <f t="shared" si="64"/>
        <v/>
      </c>
    </row>
    <row r="4053" spans="12:12" x14ac:dyDescent="0.2">
      <c r="L4053" t="str">
        <f t="shared" si="64"/>
        <v/>
      </c>
    </row>
    <row r="4054" spans="12:12" x14ac:dyDescent="0.2">
      <c r="L4054" t="str">
        <f t="shared" si="64"/>
        <v/>
      </c>
    </row>
    <row r="4055" spans="12:12" x14ac:dyDescent="0.2">
      <c r="L4055" t="str">
        <f t="shared" si="64"/>
        <v/>
      </c>
    </row>
    <row r="4056" spans="12:12" x14ac:dyDescent="0.2">
      <c r="L4056" t="str">
        <f t="shared" si="64"/>
        <v/>
      </c>
    </row>
    <row r="4057" spans="12:12" x14ac:dyDescent="0.2">
      <c r="L4057" t="str">
        <f t="shared" si="64"/>
        <v/>
      </c>
    </row>
    <row r="4058" spans="12:12" x14ac:dyDescent="0.2">
      <c r="L4058" t="str">
        <f t="shared" si="64"/>
        <v/>
      </c>
    </row>
    <row r="4059" spans="12:12" x14ac:dyDescent="0.2">
      <c r="L4059" t="str">
        <f t="shared" si="64"/>
        <v/>
      </c>
    </row>
    <row r="4060" spans="12:12" x14ac:dyDescent="0.2">
      <c r="L4060" t="str">
        <f t="shared" si="64"/>
        <v/>
      </c>
    </row>
    <row r="4061" spans="12:12" x14ac:dyDescent="0.2">
      <c r="L4061" t="str">
        <f t="shared" si="64"/>
        <v/>
      </c>
    </row>
    <row r="4062" spans="12:12" x14ac:dyDescent="0.2">
      <c r="L4062" t="str">
        <f t="shared" si="64"/>
        <v/>
      </c>
    </row>
    <row r="4063" spans="12:12" x14ac:dyDescent="0.2">
      <c r="L4063" t="str">
        <f t="shared" si="64"/>
        <v/>
      </c>
    </row>
    <row r="4064" spans="12:12" x14ac:dyDescent="0.2">
      <c r="L4064" t="str">
        <f t="shared" si="64"/>
        <v/>
      </c>
    </row>
    <row r="4065" spans="12:12" x14ac:dyDescent="0.2">
      <c r="L4065" t="str">
        <f t="shared" si="64"/>
        <v/>
      </c>
    </row>
    <row r="4066" spans="12:12" x14ac:dyDescent="0.2">
      <c r="L4066" t="str">
        <f t="shared" si="64"/>
        <v/>
      </c>
    </row>
    <row r="4067" spans="12:12" x14ac:dyDescent="0.2">
      <c r="L4067" t="str">
        <f t="shared" si="64"/>
        <v/>
      </c>
    </row>
    <row r="4068" spans="12:12" x14ac:dyDescent="0.2">
      <c r="L4068" t="str">
        <f t="shared" si="64"/>
        <v/>
      </c>
    </row>
    <row r="4069" spans="12:12" x14ac:dyDescent="0.2">
      <c r="L4069" t="str">
        <f t="shared" si="64"/>
        <v/>
      </c>
    </row>
    <row r="4070" spans="12:12" x14ac:dyDescent="0.2">
      <c r="L4070" t="str">
        <f t="shared" si="64"/>
        <v/>
      </c>
    </row>
    <row r="4071" spans="12:12" x14ac:dyDescent="0.2">
      <c r="L4071" t="str">
        <f t="shared" si="64"/>
        <v/>
      </c>
    </row>
    <row r="4072" spans="12:12" x14ac:dyDescent="0.2">
      <c r="L4072" t="str">
        <f t="shared" si="64"/>
        <v/>
      </c>
    </row>
    <row r="4073" spans="12:12" x14ac:dyDescent="0.2">
      <c r="L4073" t="str">
        <f t="shared" si="64"/>
        <v/>
      </c>
    </row>
    <row r="4074" spans="12:12" x14ac:dyDescent="0.2">
      <c r="L4074" t="str">
        <f t="shared" si="64"/>
        <v/>
      </c>
    </row>
    <row r="4075" spans="12:12" x14ac:dyDescent="0.2">
      <c r="L4075" t="str">
        <f t="shared" si="64"/>
        <v/>
      </c>
    </row>
    <row r="4076" spans="12:12" x14ac:dyDescent="0.2">
      <c r="L4076" t="str">
        <f t="shared" si="64"/>
        <v/>
      </c>
    </row>
    <row r="4077" spans="12:12" x14ac:dyDescent="0.2">
      <c r="L4077" t="str">
        <f t="shared" si="64"/>
        <v/>
      </c>
    </row>
    <row r="4078" spans="12:12" x14ac:dyDescent="0.2">
      <c r="L4078" t="str">
        <f t="shared" si="64"/>
        <v/>
      </c>
    </row>
    <row r="4079" spans="12:12" x14ac:dyDescent="0.2">
      <c r="L4079" t="str">
        <f t="shared" si="64"/>
        <v/>
      </c>
    </row>
    <row r="4080" spans="12:12" x14ac:dyDescent="0.2">
      <c r="L4080" t="str">
        <f t="shared" si="64"/>
        <v/>
      </c>
    </row>
    <row r="4081" spans="12:12" x14ac:dyDescent="0.2">
      <c r="L4081" t="str">
        <f t="shared" si="64"/>
        <v/>
      </c>
    </row>
    <row r="4082" spans="12:12" x14ac:dyDescent="0.2">
      <c r="L4082" t="str">
        <f t="shared" si="64"/>
        <v/>
      </c>
    </row>
    <row r="4083" spans="12:12" x14ac:dyDescent="0.2">
      <c r="L4083" t="str">
        <f t="shared" si="64"/>
        <v/>
      </c>
    </row>
    <row r="4084" spans="12:12" x14ac:dyDescent="0.2">
      <c r="L4084" t="str">
        <f t="shared" si="64"/>
        <v/>
      </c>
    </row>
    <row r="4085" spans="12:12" x14ac:dyDescent="0.2">
      <c r="L4085" t="str">
        <f t="shared" si="64"/>
        <v/>
      </c>
    </row>
    <row r="4086" spans="12:12" x14ac:dyDescent="0.2">
      <c r="L4086" t="str">
        <f t="shared" si="64"/>
        <v/>
      </c>
    </row>
    <row r="4087" spans="12:12" x14ac:dyDescent="0.2">
      <c r="L4087" t="str">
        <f t="shared" si="64"/>
        <v/>
      </c>
    </row>
    <row r="4088" spans="12:12" x14ac:dyDescent="0.2">
      <c r="L4088" t="str">
        <f t="shared" si="64"/>
        <v/>
      </c>
    </row>
    <row r="4089" spans="12:12" x14ac:dyDescent="0.2">
      <c r="L4089" t="str">
        <f t="shared" si="64"/>
        <v/>
      </c>
    </row>
    <row r="4090" spans="12:12" x14ac:dyDescent="0.2">
      <c r="L4090" t="str">
        <f t="shared" si="64"/>
        <v/>
      </c>
    </row>
    <row r="4091" spans="12:12" x14ac:dyDescent="0.2">
      <c r="L4091" t="str">
        <f t="shared" si="64"/>
        <v/>
      </c>
    </row>
    <row r="4092" spans="12:12" x14ac:dyDescent="0.2">
      <c r="L4092" t="str">
        <f t="shared" si="64"/>
        <v/>
      </c>
    </row>
    <row r="4093" spans="12:12" x14ac:dyDescent="0.2">
      <c r="L4093" t="str">
        <f t="shared" si="64"/>
        <v/>
      </c>
    </row>
    <row r="4094" spans="12:12" x14ac:dyDescent="0.2">
      <c r="L4094" t="str">
        <f t="shared" si="64"/>
        <v/>
      </c>
    </row>
    <row r="4095" spans="12:12" x14ac:dyDescent="0.2">
      <c r="L4095" t="str">
        <f t="shared" si="64"/>
        <v/>
      </c>
    </row>
    <row r="4096" spans="12:12" x14ac:dyDescent="0.2">
      <c r="L4096" t="str">
        <f t="shared" si="64"/>
        <v/>
      </c>
    </row>
    <row r="4097" spans="12:12" x14ac:dyDescent="0.2">
      <c r="L4097" t="str">
        <f t="shared" si="64"/>
        <v/>
      </c>
    </row>
    <row r="4098" spans="12:12" x14ac:dyDescent="0.2">
      <c r="L4098" t="str">
        <f t="shared" si="64"/>
        <v/>
      </c>
    </row>
    <row r="4099" spans="12:12" x14ac:dyDescent="0.2">
      <c r="L4099" t="str">
        <f t="shared" si="64"/>
        <v/>
      </c>
    </row>
    <row r="4100" spans="12:12" x14ac:dyDescent="0.2">
      <c r="L4100" t="str">
        <f t="shared" ref="L4100:L4163" si="65">IF(L4099&lt;$I$15,L4099+$I$16,"")</f>
        <v/>
      </c>
    </row>
    <row r="4101" spans="12:12" x14ac:dyDescent="0.2">
      <c r="L4101" t="str">
        <f t="shared" si="65"/>
        <v/>
      </c>
    </row>
    <row r="4102" spans="12:12" x14ac:dyDescent="0.2">
      <c r="L4102" t="str">
        <f t="shared" si="65"/>
        <v/>
      </c>
    </row>
    <row r="4103" spans="12:12" x14ac:dyDescent="0.2">
      <c r="L4103" t="str">
        <f t="shared" si="65"/>
        <v/>
      </c>
    </row>
    <row r="4104" spans="12:12" x14ac:dyDescent="0.2">
      <c r="L4104" t="str">
        <f t="shared" si="65"/>
        <v/>
      </c>
    </row>
    <row r="4105" spans="12:12" x14ac:dyDescent="0.2">
      <c r="L4105" t="str">
        <f t="shared" si="65"/>
        <v/>
      </c>
    </row>
    <row r="4106" spans="12:12" x14ac:dyDescent="0.2">
      <c r="L4106" t="str">
        <f t="shared" si="65"/>
        <v/>
      </c>
    </row>
    <row r="4107" spans="12:12" x14ac:dyDescent="0.2">
      <c r="L4107" t="str">
        <f t="shared" si="65"/>
        <v/>
      </c>
    </row>
    <row r="4108" spans="12:12" x14ac:dyDescent="0.2">
      <c r="L4108" t="str">
        <f t="shared" si="65"/>
        <v/>
      </c>
    </row>
    <row r="4109" spans="12:12" x14ac:dyDescent="0.2">
      <c r="L4109" t="str">
        <f t="shared" si="65"/>
        <v/>
      </c>
    </row>
    <row r="4110" spans="12:12" x14ac:dyDescent="0.2">
      <c r="L4110" t="str">
        <f t="shared" si="65"/>
        <v/>
      </c>
    </row>
    <row r="4111" spans="12:12" x14ac:dyDescent="0.2">
      <c r="L4111" t="str">
        <f t="shared" si="65"/>
        <v/>
      </c>
    </row>
    <row r="4112" spans="12:12" x14ac:dyDescent="0.2">
      <c r="L4112" t="str">
        <f t="shared" si="65"/>
        <v/>
      </c>
    </row>
    <row r="4113" spans="12:12" x14ac:dyDescent="0.2">
      <c r="L4113" t="str">
        <f t="shared" si="65"/>
        <v/>
      </c>
    </row>
    <row r="4114" spans="12:12" x14ac:dyDescent="0.2">
      <c r="L4114" t="str">
        <f t="shared" si="65"/>
        <v/>
      </c>
    </row>
    <row r="4115" spans="12:12" x14ac:dyDescent="0.2">
      <c r="L4115" t="str">
        <f t="shared" si="65"/>
        <v/>
      </c>
    </row>
    <row r="4116" spans="12:12" x14ac:dyDescent="0.2">
      <c r="L4116" t="str">
        <f t="shared" si="65"/>
        <v/>
      </c>
    </row>
    <row r="4117" spans="12:12" x14ac:dyDescent="0.2">
      <c r="L4117" t="str">
        <f t="shared" si="65"/>
        <v/>
      </c>
    </row>
    <row r="4118" spans="12:12" x14ac:dyDescent="0.2">
      <c r="L4118" t="str">
        <f t="shared" si="65"/>
        <v/>
      </c>
    </row>
    <row r="4119" spans="12:12" x14ac:dyDescent="0.2">
      <c r="L4119" t="str">
        <f t="shared" si="65"/>
        <v/>
      </c>
    </row>
    <row r="4120" spans="12:12" x14ac:dyDescent="0.2">
      <c r="L4120" t="str">
        <f t="shared" si="65"/>
        <v/>
      </c>
    </row>
    <row r="4121" spans="12:12" x14ac:dyDescent="0.2">
      <c r="L4121" t="str">
        <f t="shared" si="65"/>
        <v/>
      </c>
    </row>
    <row r="4122" spans="12:12" x14ac:dyDescent="0.2">
      <c r="L4122" t="str">
        <f t="shared" si="65"/>
        <v/>
      </c>
    </row>
    <row r="4123" spans="12:12" x14ac:dyDescent="0.2">
      <c r="L4123" t="str">
        <f t="shared" si="65"/>
        <v/>
      </c>
    </row>
    <row r="4124" spans="12:12" x14ac:dyDescent="0.2">
      <c r="L4124" t="str">
        <f t="shared" si="65"/>
        <v/>
      </c>
    </row>
    <row r="4125" spans="12:12" x14ac:dyDescent="0.2">
      <c r="L4125" t="str">
        <f t="shared" si="65"/>
        <v/>
      </c>
    </row>
    <row r="4126" spans="12:12" x14ac:dyDescent="0.2">
      <c r="L4126" t="str">
        <f t="shared" si="65"/>
        <v/>
      </c>
    </row>
    <row r="4127" spans="12:12" x14ac:dyDescent="0.2">
      <c r="L4127" t="str">
        <f t="shared" si="65"/>
        <v/>
      </c>
    </row>
    <row r="4128" spans="12:12" x14ac:dyDescent="0.2">
      <c r="L4128" t="str">
        <f t="shared" si="65"/>
        <v/>
      </c>
    </row>
    <row r="4129" spans="12:12" x14ac:dyDescent="0.2">
      <c r="L4129" t="str">
        <f t="shared" si="65"/>
        <v/>
      </c>
    </row>
    <row r="4130" spans="12:12" x14ac:dyDescent="0.2">
      <c r="L4130" t="str">
        <f t="shared" si="65"/>
        <v/>
      </c>
    </row>
    <row r="4131" spans="12:12" x14ac:dyDescent="0.2">
      <c r="L4131" t="str">
        <f t="shared" si="65"/>
        <v/>
      </c>
    </row>
    <row r="4132" spans="12:12" x14ac:dyDescent="0.2">
      <c r="L4132" t="str">
        <f t="shared" si="65"/>
        <v/>
      </c>
    </row>
    <row r="4133" spans="12:12" x14ac:dyDescent="0.2">
      <c r="L4133" t="str">
        <f t="shared" si="65"/>
        <v/>
      </c>
    </row>
    <row r="4134" spans="12:12" x14ac:dyDescent="0.2">
      <c r="L4134" t="str">
        <f t="shared" si="65"/>
        <v/>
      </c>
    </row>
    <row r="4135" spans="12:12" x14ac:dyDescent="0.2">
      <c r="L4135" t="str">
        <f t="shared" si="65"/>
        <v/>
      </c>
    </row>
    <row r="4136" spans="12:12" x14ac:dyDescent="0.2">
      <c r="L4136" t="str">
        <f t="shared" si="65"/>
        <v/>
      </c>
    </row>
    <row r="4137" spans="12:12" x14ac:dyDescent="0.2">
      <c r="L4137" t="str">
        <f t="shared" si="65"/>
        <v/>
      </c>
    </row>
    <row r="4138" spans="12:12" x14ac:dyDescent="0.2">
      <c r="L4138" t="str">
        <f t="shared" si="65"/>
        <v/>
      </c>
    </row>
    <row r="4139" spans="12:12" x14ac:dyDescent="0.2">
      <c r="L4139" t="str">
        <f t="shared" si="65"/>
        <v/>
      </c>
    </row>
    <row r="4140" spans="12:12" x14ac:dyDescent="0.2">
      <c r="L4140" t="str">
        <f t="shared" si="65"/>
        <v/>
      </c>
    </row>
    <row r="4141" spans="12:12" x14ac:dyDescent="0.2">
      <c r="L4141" t="str">
        <f t="shared" si="65"/>
        <v/>
      </c>
    </row>
    <row r="4142" spans="12:12" x14ac:dyDescent="0.2">
      <c r="L4142" t="str">
        <f t="shared" si="65"/>
        <v/>
      </c>
    </row>
    <row r="4143" spans="12:12" x14ac:dyDescent="0.2">
      <c r="L4143" t="str">
        <f t="shared" si="65"/>
        <v/>
      </c>
    </row>
    <row r="4144" spans="12:12" x14ac:dyDescent="0.2">
      <c r="L4144" t="str">
        <f t="shared" si="65"/>
        <v/>
      </c>
    </row>
    <row r="4145" spans="12:12" x14ac:dyDescent="0.2">
      <c r="L4145" t="str">
        <f t="shared" si="65"/>
        <v/>
      </c>
    </row>
    <row r="4146" spans="12:12" x14ac:dyDescent="0.2">
      <c r="L4146" t="str">
        <f t="shared" si="65"/>
        <v/>
      </c>
    </row>
    <row r="4147" spans="12:12" x14ac:dyDescent="0.2">
      <c r="L4147" t="str">
        <f t="shared" si="65"/>
        <v/>
      </c>
    </row>
    <row r="4148" spans="12:12" x14ac:dyDescent="0.2">
      <c r="L4148" t="str">
        <f t="shared" si="65"/>
        <v/>
      </c>
    </row>
    <row r="4149" spans="12:12" x14ac:dyDescent="0.2">
      <c r="L4149" t="str">
        <f t="shared" si="65"/>
        <v/>
      </c>
    </row>
    <row r="4150" spans="12:12" x14ac:dyDescent="0.2">
      <c r="L4150" t="str">
        <f t="shared" si="65"/>
        <v/>
      </c>
    </row>
    <row r="4151" spans="12:12" x14ac:dyDescent="0.2">
      <c r="L4151" t="str">
        <f t="shared" si="65"/>
        <v/>
      </c>
    </row>
    <row r="4152" spans="12:12" x14ac:dyDescent="0.2">
      <c r="L4152" t="str">
        <f t="shared" si="65"/>
        <v/>
      </c>
    </row>
    <row r="4153" spans="12:12" x14ac:dyDescent="0.2">
      <c r="L4153" t="str">
        <f t="shared" si="65"/>
        <v/>
      </c>
    </row>
    <row r="4154" spans="12:12" x14ac:dyDescent="0.2">
      <c r="L4154" t="str">
        <f t="shared" si="65"/>
        <v/>
      </c>
    </row>
    <row r="4155" spans="12:12" x14ac:dyDescent="0.2">
      <c r="L4155" t="str">
        <f t="shared" si="65"/>
        <v/>
      </c>
    </row>
    <row r="4156" spans="12:12" x14ac:dyDescent="0.2">
      <c r="L4156" t="str">
        <f t="shared" si="65"/>
        <v/>
      </c>
    </row>
    <row r="4157" spans="12:12" x14ac:dyDescent="0.2">
      <c r="L4157" t="str">
        <f t="shared" si="65"/>
        <v/>
      </c>
    </row>
    <row r="4158" spans="12:12" x14ac:dyDescent="0.2">
      <c r="L4158" t="str">
        <f t="shared" si="65"/>
        <v/>
      </c>
    </row>
    <row r="4159" spans="12:12" x14ac:dyDescent="0.2">
      <c r="L4159" t="str">
        <f t="shared" si="65"/>
        <v/>
      </c>
    </row>
    <row r="4160" spans="12:12" x14ac:dyDescent="0.2">
      <c r="L4160" t="str">
        <f t="shared" si="65"/>
        <v/>
      </c>
    </row>
    <row r="4161" spans="12:12" x14ac:dyDescent="0.2">
      <c r="L4161" t="str">
        <f t="shared" si="65"/>
        <v/>
      </c>
    </row>
    <row r="4162" spans="12:12" x14ac:dyDescent="0.2">
      <c r="L4162" t="str">
        <f t="shared" si="65"/>
        <v/>
      </c>
    </row>
    <row r="4163" spans="12:12" x14ac:dyDescent="0.2">
      <c r="L4163" t="str">
        <f t="shared" si="65"/>
        <v/>
      </c>
    </row>
    <row r="4164" spans="12:12" x14ac:dyDescent="0.2">
      <c r="L4164" t="str">
        <f t="shared" ref="L4164:L4227" si="66">IF(L4163&lt;$I$15,L4163+$I$16,"")</f>
        <v/>
      </c>
    </row>
    <row r="4165" spans="12:12" x14ac:dyDescent="0.2">
      <c r="L4165" t="str">
        <f t="shared" si="66"/>
        <v/>
      </c>
    </row>
    <row r="4166" spans="12:12" x14ac:dyDescent="0.2">
      <c r="L4166" t="str">
        <f t="shared" si="66"/>
        <v/>
      </c>
    </row>
    <row r="4167" spans="12:12" x14ac:dyDescent="0.2">
      <c r="L4167" t="str">
        <f t="shared" si="66"/>
        <v/>
      </c>
    </row>
    <row r="4168" spans="12:12" x14ac:dyDescent="0.2">
      <c r="L4168" t="str">
        <f t="shared" si="66"/>
        <v/>
      </c>
    </row>
    <row r="4169" spans="12:12" x14ac:dyDescent="0.2">
      <c r="L4169" t="str">
        <f t="shared" si="66"/>
        <v/>
      </c>
    </row>
    <row r="4170" spans="12:12" x14ac:dyDescent="0.2">
      <c r="L4170" t="str">
        <f t="shared" si="66"/>
        <v/>
      </c>
    </row>
    <row r="4171" spans="12:12" x14ac:dyDescent="0.2">
      <c r="L4171" t="str">
        <f t="shared" si="66"/>
        <v/>
      </c>
    </row>
    <row r="4172" spans="12:12" x14ac:dyDescent="0.2">
      <c r="L4172" t="str">
        <f t="shared" si="66"/>
        <v/>
      </c>
    </row>
    <row r="4173" spans="12:12" x14ac:dyDescent="0.2">
      <c r="L4173" t="str">
        <f t="shared" si="66"/>
        <v/>
      </c>
    </row>
    <row r="4174" spans="12:12" x14ac:dyDescent="0.2">
      <c r="L4174" t="str">
        <f t="shared" si="66"/>
        <v/>
      </c>
    </row>
    <row r="4175" spans="12:12" x14ac:dyDescent="0.2">
      <c r="L4175" t="str">
        <f t="shared" si="66"/>
        <v/>
      </c>
    </row>
    <row r="4176" spans="12:12" x14ac:dyDescent="0.2">
      <c r="L4176" t="str">
        <f t="shared" si="66"/>
        <v/>
      </c>
    </row>
    <row r="4177" spans="12:12" x14ac:dyDescent="0.2">
      <c r="L4177" t="str">
        <f t="shared" si="66"/>
        <v/>
      </c>
    </row>
    <row r="4178" spans="12:12" x14ac:dyDescent="0.2">
      <c r="L4178" t="str">
        <f t="shared" si="66"/>
        <v/>
      </c>
    </row>
    <row r="4179" spans="12:12" x14ac:dyDescent="0.2">
      <c r="L4179" t="str">
        <f t="shared" si="66"/>
        <v/>
      </c>
    </row>
    <row r="4180" spans="12:12" x14ac:dyDescent="0.2">
      <c r="L4180" t="str">
        <f t="shared" si="66"/>
        <v/>
      </c>
    </row>
    <row r="4181" spans="12:12" x14ac:dyDescent="0.2">
      <c r="L4181" t="str">
        <f t="shared" si="66"/>
        <v/>
      </c>
    </row>
    <row r="4182" spans="12:12" x14ac:dyDescent="0.2">
      <c r="L4182" t="str">
        <f t="shared" si="66"/>
        <v/>
      </c>
    </row>
    <row r="4183" spans="12:12" x14ac:dyDescent="0.2">
      <c r="L4183" t="str">
        <f t="shared" si="66"/>
        <v/>
      </c>
    </row>
    <row r="4184" spans="12:12" x14ac:dyDescent="0.2">
      <c r="L4184" t="str">
        <f t="shared" si="66"/>
        <v/>
      </c>
    </row>
    <row r="4185" spans="12:12" x14ac:dyDescent="0.2">
      <c r="L4185" t="str">
        <f t="shared" si="66"/>
        <v/>
      </c>
    </row>
    <row r="4186" spans="12:12" x14ac:dyDescent="0.2">
      <c r="L4186" t="str">
        <f t="shared" si="66"/>
        <v/>
      </c>
    </row>
    <row r="4187" spans="12:12" x14ac:dyDescent="0.2">
      <c r="L4187" t="str">
        <f t="shared" si="66"/>
        <v/>
      </c>
    </row>
    <row r="4188" spans="12:12" x14ac:dyDescent="0.2">
      <c r="L4188" t="str">
        <f t="shared" si="66"/>
        <v/>
      </c>
    </row>
    <row r="4189" spans="12:12" x14ac:dyDescent="0.2">
      <c r="L4189" t="str">
        <f t="shared" si="66"/>
        <v/>
      </c>
    </row>
    <row r="4190" spans="12:12" x14ac:dyDescent="0.2">
      <c r="L4190" t="str">
        <f t="shared" si="66"/>
        <v/>
      </c>
    </row>
    <row r="4191" spans="12:12" x14ac:dyDescent="0.2">
      <c r="L4191" t="str">
        <f t="shared" si="66"/>
        <v/>
      </c>
    </row>
    <row r="4192" spans="12:12" x14ac:dyDescent="0.2">
      <c r="L4192" t="str">
        <f t="shared" si="66"/>
        <v/>
      </c>
    </row>
    <row r="4193" spans="12:12" x14ac:dyDescent="0.2">
      <c r="L4193" t="str">
        <f t="shared" si="66"/>
        <v/>
      </c>
    </row>
    <row r="4194" spans="12:12" x14ac:dyDescent="0.2">
      <c r="L4194" t="str">
        <f t="shared" si="66"/>
        <v/>
      </c>
    </row>
    <row r="4195" spans="12:12" x14ac:dyDescent="0.2">
      <c r="L4195" t="str">
        <f t="shared" si="66"/>
        <v/>
      </c>
    </row>
    <row r="4196" spans="12:12" x14ac:dyDescent="0.2">
      <c r="L4196" t="str">
        <f t="shared" si="66"/>
        <v/>
      </c>
    </row>
    <row r="4197" spans="12:12" x14ac:dyDescent="0.2">
      <c r="L4197" t="str">
        <f t="shared" si="66"/>
        <v/>
      </c>
    </row>
    <row r="4198" spans="12:12" x14ac:dyDescent="0.2">
      <c r="L4198" t="str">
        <f t="shared" si="66"/>
        <v/>
      </c>
    </row>
    <row r="4199" spans="12:12" x14ac:dyDescent="0.2">
      <c r="L4199" t="str">
        <f t="shared" si="66"/>
        <v/>
      </c>
    </row>
    <row r="4200" spans="12:12" x14ac:dyDescent="0.2">
      <c r="L4200" t="str">
        <f t="shared" si="66"/>
        <v/>
      </c>
    </row>
    <row r="4201" spans="12:12" x14ac:dyDescent="0.2">
      <c r="L4201" t="str">
        <f t="shared" si="66"/>
        <v/>
      </c>
    </row>
    <row r="4202" spans="12:12" x14ac:dyDescent="0.2">
      <c r="L4202" t="str">
        <f t="shared" si="66"/>
        <v/>
      </c>
    </row>
    <row r="4203" spans="12:12" x14ac:dyDescent="0.2">
      <c r="L4203" t="str">
        <f t="shared" si="66"/>
        <v/>
      </c>
    </row>
    <row r="4204" spans="12:12" x14ac:dyDescent="0.2">
      <c r="L4204" t="str">
        <f t="shared" si="66"/>
        <v/>
      </c>
    </row>
    <row r="4205" spans="12:12" x14ac:dyDescent="0.2">
      <c r="L4205" t="str">
        <f t="shared" si="66"/>
        <v/>
      </c>
    </row>
    <row r="4206" spans="12:12" x14ac:dyDescent="0.2">
      <c r="L4206" t="str">
        <f t="shared" si="66"/>
        <v/>
      </c>
    </row>
    <row r="4207" spans="12:12" x14ac:dyDescent="0.2">
      <c r="L4207" t="str">
        <f t="shared" si="66"/>
        <v/>
      </c>
    </row>
    <row r="4208" spans="12:12" x14ac:dyDescent="0.2">
      <c r="L4208" t="str">
        <f t="shared" si="66"/>
        <v/>
      </c>
    </row>
    <row r="4209" spans="12:12" x14ac:dyDescent="0.2">
      <c r="L4209" t="str">
        <f t="shared" si="66"/>
        <v/>
      </c>
    </row>
    <row r="4210" spans="12:12" x14ac:dyDescent="0.2">
      <c r="L4210" t="str">
        <f t="shared" si="66"/>
        <v/>
      </c>
    </row>
    <row r="4211" spans="12:12" x14ac:dyDescent="0.2">
      <c r="L4211" t="str">
        <f t="shared" si="66"/>
        <v/>
      </c>
    </row>
    <row r="4212" spans="12:12" x14ac:dyDescent="0.2">
      <c r="L4212" t="str">
        <f t="shared" si="66"/>
        <v/>
      </c>
    </row>
    <row r="4213" spans="12:12" x14ac:dyDescent="0.2">
      <c r="L4213" t="str">
        <f t="shared" si="66"/>
        <v/>
      </c>
    </row>
    <row r="4214" spans="12:12" x14ac:dyDescent="0.2">
      <c r="L4214" t="str">
        <f t="shared" si="66"/>
        <v/>
      </c>
    </row>
    <row r="4215" spans="12:12" x14ac:dyDescent="0.2">
      <c r="L4215" t="str">
        <f t="shared" si="66"/>
        <v/>
      </c>
    </row>
    <row r="4216" spans="12:12" x14ac:dyDescent="0.2">
      <c r="L4216" t="str">
        <f t="shared" si="66"/>
        <v/>
      </c>
    </row>
    <row r="4217" spans="12:12" x14ac:dyDescent="0.2">
      <c r="L4217" t="str">
        <f t="shared" si="66"/>
        <v/>
      </c>
    </row>
    <row r="4218" spans="12:12" x14ac:dyDescent="0.2">
      <c r="L4218" t="str">
        <f t="shared" si="66"/>
        <v/>
      </c>
    </row>
    <row r="4219" spans="12:12" x14ac:dyDescent="0.2">
      <c r="L4219" t="str">
        <f t="shared" si="66"/>
        <v/>
      </c>
    </row>
    <row r="4220" spans="12:12" x14ac:dyDescent="0.2">
      <c r="L4220" t="str">
        <f t="shared" si="66"/>
        <v/>
      </c>
    </row>
    <row r="4221" spans="12:12" x14ac:dyDescent="0.2">
      <c r="L4221" t="str">
        <f t="shared" si="66"/>
        <v/>
      </c>
    </row>
    <row r="4222" spans="12:12" x14ac:dyDescent="0.2">
      <c r="L4222" t="str">
        <f t="shared" si="66"/>
        <v/>
      </c>
    </row>
    <row r="4223" spans="12:12" x14ac:dyDescent="0.2">
      <c r="L4223" t="str">
        <f t="shared" si="66"/>
        <v/>
      </c>
    </row>
    <row r="4224" spans="12:12" x14ac:dyDescent="0.2">
      <c r="L4224" t="str">
        <f t="shared" si="66"/>
        <v/>
      </c>
    </row>
    <row r="4225" spans="12:12" x14ac:dyDescent="0.2">
      <c r="L4225" t="str">
        <f t="shared" si="66"/>
        <v/>
      </c>
    </row>
    <row r="4226" spans="12:12" x14ac:dyDescent="0.2">
      <c r="L4226" t="str">
        <f t="shared" si="66"/>
        <v/>
      </c>
    </row>
    <row r="4227" spans="12:12" x14ac:dyDescent="0.2">
      <c r="L4227" t="str">
        <f t="shared" si="66"/>
        <v/>
      </c>
    </row>
    <row r="4228" spans="12:12" x14ac:dyDescent="0.2">
      <c r="L4228" t="str">
        <f t="shared" ref="L4228:L4291" si="67">IF(L4227&lt;$I$15,L4227+$I$16,"")</f>
        <v/>
      </c>
    </row>
    <row r="4229" spans="12:12" x14ac:dyDescent="0.2">
      <c r="L4229" t="str">
        <f t="shared" si="67"/>
        <v/>
      </c>
    </row>
    <row r="4230" spans="12:12" x14ac:dyDescent="0.2">
      <c r="L4230" t="str">
        <f t="shared" si="67"/>
        <v/>
      </c>
    </row>
    <row r="4231" spans="12:12" x14ac:dyDescent="0.2">
      <c r="L4231" t="str">
        <f t="shared" si="67"/>
        <v/>
      </c>
    </row>
    <row r="4232" spans="12:12" x14ac:dyDescent="0.2">
      <c r="L4232" t="str">
        <f t="shared" si="67"/>
        <v/>
      </c>
    </row>
    <row r="4233" spans="12:12" x14ac:dyDescent="0.2">
      <c r="L4233" t="str">
        <f t="shared" si="67"/>
        <v/>
      </c>
    </row>
    <row r="4234" spans="12:12" x14ac:dyDescent="0.2">
      <c r="L4234" t="str">
        <f t="shared" si="67"/>
        <v/>
      </c>
    </row>
    <row r="4235" spans="12:12" x14ac:dyDescent="0.2">
      <c r="L4235" t="str">
        <f t="shared" si="67"/>
        <v/>
      </c>
    </row>
    <row r="4236" spans="12:12" x14ac:dyDescent="0.2">
      <c r="L4236" t="str">
        <f t="shared" si="67"/>
        <v/>
      </c>
    </row>
    <row r="4237" spans="12:12" x14ac:dyDescent="0.2">
      <c r="L4237" t="str">
        <f t="shared" si="67"/>
        <v/>
      </c>
    </row>
    <row r="4238" spans="12:12" x14ac:dyDescent="0.2">
      <c r="L4238" t="str">
        <f t="shared" si="67"/>
        <v/>
      </c>
    </row>
    <row r="4239" spans="12:12" x14ac:dyDescent="0.2">
      <c r="L4239" t="str">
        <f t="shared" si="67"/>
        <v/>
      </c>
    </row>
    <row r="4240" spans="12:12" x14ac:dyDescent="0.2">
      <c r="L4240" t="str">
        <f t="shared" si="67"/>
        <v/>
      </c>
    </row>
    <row r="4241" spans="12:12" x14ac:dyDescent="0.2">
      <c r="L4241" t="str">
        <f t="shared" si="67"/>
        <v/>
      </c>
    </row>
    <row r="4242" spans="12:12" x14ac:dyDescent="0.2">
      <c r="L4242" t="str">
        <f t="shared" si="67"/>
        <v/>
      </c>
    </row>
    <row r="4243" spans="12:12" x14ac:dyDescent="0.2">
      <c r="L4243" t="str">
        <f t="shared" si="67"/>
        <v/>
      </c>
    </row>
    <row r="4244" spans="12:12" x14ac:dyDescent="0.2">
      <c r="L4244" t="str">
        <f t="shared" si="67"/>
        <v/>
      </c>
    </row>
    <row r="4245" spans="12:12" x14ac:dyDescent="0.2">
      <c r="L4245" t="str">
        <f t="shared" si="67"/>
        <v/>
      </c>
    </row>
    <row r="4246" spans="12:12" x14ac:dyDescent="0.2">
      <c r="L4246" t="str">
        <f t="shared" si="67"/>
        <v/>
      </c>
    </row>
    <row r="4247" spans="12:12" x14ac:dyDescent="0.2">
      <c r="L4247" t="str">
        <f t="shared" si="67"/>
        <v/>
      </c>
    </row>
    <row r="4248" spans="12:12" x14ac:dyDescent="0.2">
      <c r="L4248" t="str">
        <f t="shared" si="67"/>
        <v/>
      </c>
    </row>
    <row r="4249" spans="12:12" x14ac:dyDescent="0.2">
      <c r="L4249" t="str">
        <f t="shared" si="67"/>
        <v/>
      </c>
    </row>
    <row r="4250" spans="12:12" x14ac:dyDescent="0.2">
      <c r="L4250" t="str">
        <f t="shared" si="67"/>
        <v/>
      </c>
    </row>
    <row r="4251" spans="12:12" x14ac:dyDescent="0.2">
      <c r="L4251" t="str">
        <f t="shared" si="67"/>
        <v/>
      </c>
    </row>
    <row r="4252" spans="12:12" x14ac:dyDescent="0.2">
      <c r="L4252" t="str">
        <f t="shared" si="67"/>
        <v/>
      </c>
    </row>
    <row r="4253" spans="12:12" x14ac:dyDescent="0.2">
      <c r="L4253" t="str">
        <f t="shared" si="67"/>
        <v/>
      </c>
    </row>
    <row r="4254" spans="12:12" x14ac:dyDescent="0.2">
      <c r="L4254" t="str">
        <f t="shared" si="67"/>
        <v/>
      </c>
    </row>
    <row r="4255" spans="12:12" x14ac:dyDescent="0.2">
      <c r="L4255" t="str">
        <f t="shared" si="67"/>
        <v/>
      </c>
    </row>
    <row r="4256" spans="12:12" x14ac:dyDescent="0.2">
      <c r="L4256" t="str">
        <f t="shared" si="67"/>
        <v/>
      </c>
    </row>
    <row r="4257" spans="12:12" x14ac:dyDescent="0.2">
      <c r="L4257" t="str">
        <f t="shared" si="67"/>
        <v/>
      </c>
    </row>
    <row r="4258" spans="12:12" x14ac:dyDescent="0.2">
      <c r="L4258" t="str">
        <f t="shared" si="67"/>
        <v/>
      </c>
    </row>
    <row r="4259" spans="12:12" x14ac:dyDescent="0.2">
      <c r="L4259" t="str">
        <f t="shared" si="67"/>
        <v/>
      </c>
    </row>
    <row r="4260" spans="12:12" x14ac:dyDescent="0.2">
      <c r="L4260" t="str">
        <f t="shared" si="67"/>
        <v/>
      </c>
    </row>
    <row r="4261" spans="12:12" x14ac:dyDescent="0.2">
      <c r="L4261" t="str">
        <f t="shared" si="67"/>
        <v/>
      </c>
    </row>
    <row r="4262" spans="12:12" x14ac:dyDescent="0.2">
      <c r="L4262" t="str">
        <f t="shared" si="67"/>
        <v/>
      </c>
    </row>
    <row r="4263" spans="12:12" x14ac:dyDescent="0.2">
      <c r="L4263" t="str">
        <f t="shared" si="67"/>
        <v/>
      </c>
    </row>
    <row r="4264" spans="12:12" x14ac:dyDescent="0.2">
      <c r="L4264" t="str">
        <f t="shared" si="67"/>
        <v/>
      </c>
    </row>
    <row r="4265" spans="12:12" x14ac:dyDescent="0.2">
      <c r="L4265" t="str">
        <f t="shared" si="67"/>
        <v/>
      </c>
    </row>
    <row r="4266" spans="12:12" x14ac:dyDescent="0.2">
      <c r="L4266" t="str">
        <f t="shared" si="67"/>
        <v/>
      </c>
    </row>
    <row r="4267" spans="12:12" x14ac:dyDescent="0.2">
      <c r="L4267" t="str">
        <f t="shared" si="67"/>
        <v/>
      </c>
    </row>
    <row r="4268" spans="12:12" x14ac:dyDescent="0.2">
      <c r="L4268" t="str">
        <f t="shared" si="67"/>
        <v/>
      </c>
    </row>
    <row r="4269" spans="12:12" x14ac:dyDescent="0.2">
      <c r="L4269" t="str">
        <f t="shared" si="67"/>
        <v/>
      </c>
    </row>
    <row r="4270" spans="12:12" x14ac:dyDescent="0.2">
      <c r="L4270" t="str">
        <f t="shared" si="67"/>
        <v/>
      </c>
    </row>
    <row r="4271" spans="12:12" x14ac:dyDescent="0.2">
      <c r="L4271" t="str">
        <f t="shared" si="67"/>
        <v/>
      </c>
    </row>
    <row r="4272" spans="12:12" x14ac:dyDescent="0.2">
      <c r="L4272" t="str">
        <f t="shared" si="67"/>
        <v/>
      </c>
    </row>
    <row r="4273" spans="12:12" x14ac:dyDescent="0.2">
      <c r="L4273" t="str">
        <f t="shared" si="67"/>
        <v/>
      </c>
    </row>
    <row r="4274" spans="12:12" x14ac:dyDescent="0.2">
      <c r="L4274" t="str">
        <f t="shared" si="67"/>
        <v/>
      </c>
    </row>
    <row r="4275" spans="12:12" x14ac:dyDescent="0.2">
      <c r="L4275" t="str">
        <f t="shared" si="67"/>
        <v/>
      </c>
    </row>
    <row r="4276" spans="12:12" x14ac:dyDescent="0.2">
      <c r="L4276" t="str">
        <f t="shared" si="67"/>
        <v/>
      </c>
    </row>
    <row r="4277" spans="12:12" x14ac:dyDescent="0.2">
      <c r="L4277" t="str">
        <f t="shared" si="67"/>
        <v/>
      </c>
    </row>
    <row r="4278" spans="12:12" x14ac:dyDescent="0.2">
      <c r="L4278" t="str">
        <f t="shared" si="67"/>
        <v/>
      </c>
    </row>
    <row r="4279" spans="12:12" x14ac:dyDescent="0.2">
      <c r="L4279" t="str">
        <f t="shared" si="67"/>
        <v/>
      </c>
    </row>
    <row r="4280" spans="12:12" x14ac:dyDescent="0.2">
      <c r="L4280" t="str">
        <f t="shared" si="67"/>
        <v/>
      </c>
    </row>
    <row r="4281" spans="12:12" x14ac:dyDescent="0.2">
      <c r="L4281" t="str">
        <f t="shared" si="67"/>
        <v/>
      </c>
    </row>
    <row r="4282" spans="12:12" x14ac:dyDescent="0.2">
      <c r="L4282" t="str">
        <f t="shared" si="67"/>
        <v/>
      </c>
    </row>
    <row r="4283" spans="12:12" x14ac:dyDescent="0.2">
      <c r="L4283" t="str">
        <f t="shared" si="67"/>
        <v/>
      </c>
    </row>
    <row r="4284" spans="12:12" x14ac:dyDescent="0.2">
      <c r="L4284" t="str">
        <f t="shared" si="67"/>
        <v/>
      </c>
    </row>
    <row r="4285" spans="12:12" x14ac:dyDescent="0.2">
      <c r="L4285" t="str">
        <f t="shared" si="67"/>
        <v/>
      </c>
    </row>
    <row r="4286" spans="12:12" x14ac:dyDescent="0.2">
      <c r="L4286" t="str">
        <f t="shared" si="67"/>
        <v/>
      </c>
    </row>
    <row r="4287" spans="12:12" x14ac:dyDescent="0.2">
      <c r="L4287" t="str">
        <f t="shared" si="67"/>
        <v/>
      </c>
    </row>
    <row r="4288" spans="12:12" x14ac:dyDescent="0.2">
      <c r="L4288" t="str">
        <f t="shared" si="67"/>
        <v/>
      </c>
    </row>
    <row r="4289" spans="12:12" x14ac:dyDescent="0.2">
      <c r="L4289" t="str">
        <f t="shared" si="67"/>
        <v/>
      </c>
    </row>
    <row r="4290" spans="12:12" x14ac:dyDescent="0.2">
      <c r="L4290" t="str">
        <f t="shared" si="67"/>
        <v/>
      </c>
    </row>
    <row r="4291" spans="12:12" x14ac:dyDescent="0.2">
      <c r="L4291" t="str">
        <f t="shared" si="67"/>
        <v/>
      </c>
    </row>
    <row r="4292" spans="12:12" x14ac:dyDescent="0.2">
      <c r="L4292" t="str">
        <f t="shared" ref="L4292:L4355" si="68">IF(L4291&lt;$I$15,L4291+$I$16,"")</f>
        <v/>
      </c>
    </row>
    <row r="4293" spans="12:12" x14ac:dyDescent="0.2">
      <c r="L4293" t="str">
        <f t="shared" si="68"/>
        <v/>
      </c>
    </row>
    <row r="4294" spans="12:12" x14ac:dyDescent="0.2">
      <c r="L4294" t="str">
        <f t="shared" si="68"/>
        <v/>
      </c>
    </row>
    <row r="4295" spans="12:12" x14ac:dyDescent="0.2">
      <c r="L4295" t="str">
        <f t="shared" si="68"/>
        <v/>
      </c>
    </row>
    <row r="4296" spans="12:12" x14ac:dyDescent="0.2">
      <c r="L4296" t="str">
        <f t="shared" si="68"/>
        <v/>
      </c>
    </row>
    <row r="4297" spans="12:12" x14ac:dyDescent="0.2">
      <c r="L4297" t="str">
        <f t="shared" si="68"/>
        <v/>
      </c>
    </row>
    <row r="4298" spans="12:12" x14ac:dyDescent="0.2">
      <c r="L4298" t="str">
        <f t="shared" si="68"/>
        <v/>
      </c>
    </row>
    <row r="4299" spans="12:12" x14ac:dyDescent="0.2">
      <c r="L4299" t="str">
        <f t="shared" si="68"/>
        <v/>
      </c>
    </row>
    <row r="4300" spans="12:12" x14ac:dyDescent="0.2">
      <c r="L4300" t="str">
        <f t="shared" si="68"/>
        <v/>
      </c>
    </row>
    <row r="4301" spans="12:12" x14ac:dyDescent="0.2">
      <c r="L4301" t="str">
        <f t="shared" si="68"/>
        <v/>
      </c>
    </row>
    <row r="4302" spans="12:12" x14ac:dyDescent="0.2">
      <c r="L4302" t="str">
        <f t="shared" si="68"/>
        <v/>
      </c>
    </row>
    <row r="4303" spans="12:12" x14ac:dyDescent="0.2">
      <c r="L4303" t="str">
        <f t="shared" si="68"/>
        <v/>
      </c>
    </row>
    <row r="4304" spans="12:12" x14ac:dyDescent="0.2">
      <c r="L4304" t="str">
        <f t="shared" si="68"/>
        <v/>
      </c>
    </row>
    <row r="4305" spans="12:12" x14ac:dyDescent="0.2">
      <c r="L4305" t="str">
        <f t="shared" si="68"/>
        <v/>
      </c>
    </row>
    <row r="4306" spans="12:12" x14ac:dyDescent="0.2">
      <c r="L4306" t="str">
        <f t="shared" si="68"/>
        <v/>
      </c>
    </row>
    <row r="4307" spans="12:12" x14ac:dyDescent="0.2">
      <c r="L4307" t="str">
        <f t="shared" si="68"/>
        <v/>
      </c>
    </row>
    <row r="4308" spans="12:12" x14ac:dyDescent="0.2">
      <c r="L4308" t="str">
        <f t="shared" si="68"/>
        <v/>
      </c>
    </row>
    <row r="4309" spans="12:12" x14ac:dyDescent="0.2">
      <c r="L4309" t="str">
        <f t="shared" si="68"/>
        <v/>
      </c>
    </row>
    <row r="4310" spans="12:12" x14ac:dyDescent="0.2">
      <c r="L4310" t="str">
        <f t="shared" si="68"/>
        <v/>
      </c>
    </row>
    <row r="4311" spans="12:12" x14ac:dyDescent="0.2">
      <c r="L4311" t="str">
        <f t="shared" si="68"/>
        <v/>
      </c>
    </row>
    <row r="4312" spans="12:12" x14ac:dyDescent="0.2">
      <c r="L4312" t="str">
        <f t="shared" si="68"/>
        <v/>
      </c>
    </row>
    <row r="4313" spans="12:12" x14ac:dyDescent="0.2">
      <c r="L4313" t="str">
        <f t="shared" si="68"/>
        <v/>
      </c>
    </row>
    <row r="4314" spans="12:12" x14ac:dyDescent="0.2">
      <c r="L4314" t="str">
        <f t="shared" si="68"/>
        <v/>
      </c>
    </row>
    <row r="4315" spans="12:12" x14ac:dyDescent="0.2">
      <c r="L4315" t="str">
        <f t="shared" si="68"/>
        <v/>
      </c>
    </row>
    <row r="4316" spans="12:12" x14ac:dyDescent="0.2">
      <c r="L4316" t="str">
        <f t="shared" si="68"/>
        <v/>
      </c>
    </row>
    <row r="4317" spans="12:12" x14ac:dyDescent="0.2">
      <c r="L4317" t="str">
        <f t="shared" si="68"/>
        <v/>
      </c>
    </row>
    <row r="4318" spans="12:12" x14ac:dyDescent="0.2">
      <c r="L4318" t="str">
        <f t="shared" si="68"/>
        <v/>
      </c>
    </row>
    <row r="4319" spans="12:12" x14ac:dyDescent="0.2">
      <c r="L4319" t="str">
        <f t="shared" si="68"/>
        <v/>
      </c>
    </row>
    <row r="4320" spans="12:12" x14ac:dyDescent="0.2">
      <c r="L4320" t="str">
        <f t="shared" si="68"/>
        <v/>
      </c>
    </row>
    <row r="4321" spans="12:12" x14ac:dyDescent="0.2">
      <c r="L4321" t="str">
        <f t="shared" si="68"/>
        <v/>
      </c>
    </row>
    <row r="4322" spans="12:12" x14ac:dyDescent="0.2">
      <c r="L4322" t="str">
        <f t="shared" si="68"/>
        <v/>
      </c>
    </row>
    <row r="4323" spans="12:12" x14ac:dyDescent="0.2">
      <c r="L4323" t="str">
        <f t="shared" si="68"/>
        <v/>
      </c>
    </row>
    <row r="4324" spans="12:12" x14ac:dyDescent="0.2">
      <c r="L4324" t="str">
        <f t="shared" si="68"/>
        <v/>
      </c>
    </row>
    <row r="4325" spans="12:12" x14ac:dyDescent="0.2">
      <c r="L4325" t="str">
        <f t="shared" si="68"/>
        <v/>
      </c>
    </row>
    <row r="4326" spans="12:12" x14ac:dyDescent="0.2">
      <c r="L4326" t="str">
        <f t="shared" si="68"/>
        <v/>
      </c>
    </row>
    <row r="4327" spans="12:12" x14ac:dyDescent="0.2">
      <c r="L4327" t="str">
        <f t="shared" si="68"/>
        <v/>
      </c>
    </row>
    <row r="4328" spans="12:12" x14ac:dyDescent="0.2">
      <c r="L4328" t="str">
        <f t="shared" si="68"/>
        <v/>
      </c>
    </row>
    <row r="4329" spans="12:12" x14ac:dyDescent="0.2">
      <c r="L4329" t="str">
        <f t="shared" si="68"/>
        <v/>
      </c>
    </row>
    <row r="4330" spans="12:12" x14ac:dyDescent="0.2">
      <c r="L4330" t="str">
        <f t="shared" si="68"/>
        <v/>
      </c>
    </row>
    <row r="4331" spans="12:12" x14ac:dyDescent="0.2">
      <c r="L4331" t="str">
        <f t="shared" si="68"/>
        <v/>
      </c>
    </row>
    <row r="4332" spans="12:12" x14ac:dyDescent="0.2">
      <c r="L4332" t="str">
        <f t="shared" si="68"/>
        <v/>
      </c>
    </row>
    <row r="4333" spans="12:12" x14ac:dyDescent="0.2">
      <c r="L4333" t="str">
        <f t="shared" si="68"/>
        <v/>
      </c>
    </row>
    <row r="4334" spans="12:12" x14ac:dyDescent="0.2">
      <c r="L4334" t="str">
        <f t="shared" si="68"/>
        <v/>
      </c>
    </row>
    <row r="4335" spans="12:12" x14ac:dyDescent="0.2">
      <c r="L4335" t="str">
        <f t="shared" si="68"/>
        <v/>
      </c>
    </row>
    <row r="4336" spans="12:12" x14ac:dyDescent="0.2">
      <c r="L4336" t="str">
        <f t="shared" si="68"/>
        <v/>
      </c>
    </row>
    <row r="4337" spans="12:12" x14ac:dyDescent="0.2">
      <c r="L4337" t="str">
        <f t="shared" si="68"/>
        <v/>
      </c>
    </row>
    <row r="4338" spans="12:12" x14ac:dyDescent="0.2">
      <c r="L4338" t="str">
        <f t="shared" si="68"/>
        <v/>
      </c>
    </row>
    <row r="4339" spans="12:12" x14ac:dyDescent="0.2">
      <c r="L4339" t="str">
        <f t="shared" si="68"/>
        <v/>
      </c>
    </row>
    <row r="4340" spans="12:12" x14ac:dyDescent="0.2">
      <c r="L4340" t="str">
        <f t="shared" si="68"/>
        <v/>
      </c>
    </row>
    <row r="4341" spans="12:12" x14ac:dyDescent="0.2">
      <c r="L4341" t="str">
        <f t="shared" si="68"/>
        <v/>
      </c>
    </row>
    <row r="4342" spans="12:12" x14ac:dyDescent="0.2">
      <c r="L4342" t="str">
        <f t="shared" si="68"/>
        <v/>
      </c>
    </row>
    <row r="4343" spans="12:12" x14ac:dyDescent="0.2">
      <c r="L4343" t="str">
        <f t="shared" si="68"/>
        <v/>
      </c>
    </row>
    <row r="4344" spans="12:12" x14ac:dyDescent="0.2">
      <c r="L4344" t="str">
        <f t="shared" si="68"/>
        <v/>
      </c>
    </row>
    <row r="4345" spans="12:12" x14ac:dyDescent="0.2">
      <c r="L4345" t="str">
        <f t="shared" si="68"/>
        <v/>
      </c>
    </row>
    <row r="4346" spans="12:12" x14ac:dyDescent="0.2">
      <c r="L4346" t="str">
        <f t="shared" si="68"/>
        <v/>
      </c>
    </row>
    <row r="4347" spans="12:12" x14ac:dyDescent="0.2">
      <c r="L4347" t="str">
        <f t="shared" si="68"/>
        <v/>
      </c>
    </row>
    <row r="4348" spans="12:12" x14ac:dyDescent="0.2">
      <c r="L4348" t="str">
        <f t="shared" si="68"/>
        <v/>
      </c>
    </row>
    <row r="4349" spans="12:12" x14ac:dyDescent="0.2">
      <c r="L4349" t="str">
        <f t="shared" si="68"/>
        <v/>
      </c>
    </row>
    <row r="4350" spans="12:12" x14ac:dyDescent="0.2">
      <c r="L4350" t="str">
        <f t="shared" si="68"/>
        <v/>
      </c>
    </row>
    <row r="4351" spans="12:12" x14ac:dyDescent="0.2">
      <c r="L4351" t="str">
        <f t="shared" si="68"/>
        <v/>
      </c>
    </row>
    <row r="4352" spans="12:12" x14ac:dyDescent="0.2">
      <c r="L4352" t="str">
        <f t="shared" si="68"/>
        <v/>
      </c>
    </row>
    <row r="4353" spans="12:12" x14ac:dyDescent="0.2">
      <c r="L4353" t="str">
        <f t="shared" si="68"/>
        <v/>
      </c>
    </row>
    <row r="4354" spans="12:12" x14ac:dyDescent="0.2">
      <c r="L4354" t="str">
        <f t="shared" si="68"/>
        <v/>
      </c>
    </row>
    <row r="4355" spans="12:12" x14ac:dyDescent="0.2">
      <c r="L4355" t="str">
        <f t="shared" si="68"/>
        <v/>
      </c>
    </row>
    <row r="4356" spans="12:12" x14ac:dyDescent="0.2">
      <c r="L4356" t="str">
        <f t="shared" ref="L4356:L4419" si="69">IF(L4355&lt;$I$15,L4355+$I$16,"")</f>
        <v/>
      </c>
    </row>
    <row r="4357" spans="12:12" x14ac:dyDescent="0.2">
      <c r="L4357" t="str">
        <f t="shared" si="69"/>
        <v/>
      </c>
    </row>
    <row r="4358" spans="12:12" x14ac:dyDescent="0.2">
      <c r="L4358" t="str">
        <f t="shared" si="69"/>
        <v/>
      </c>
    </row>
    <row r="4359" spans="12:12" x14ac:dyDescent="0.2">
      <c r="L4359" t="str">
        <f t="shared" si="69"/>
        <v/>
      </c>
    </row>
    <row r="4360" spans="12:12" x14ac:dyDescent="0.2">
      <c r="L4360" t="str">
        <f t="shared" si="69"/>
        <v/>
      </c>
    </row>
    <row r="4361" spans="12:12" x14ac:dyDescent="0.2">
      <c r="L4361" t="str">
        <f t="shared" si="69"/>
        <v/>
      </c>
    </row>
    <row r="4362" spans="12:12" x14ac:dyDescent="0.2">
      <c r="L4362" t="str">
        <f t="shared" si="69"/>
        <v/>
      </c>
    </row>
    <row r="4363" spans="12:12" x14ac:dyDescent="0.2">
      <c r="L4363" t="str">
        <f t="shared" si="69"/>
        <v/>
      </c>
    </row>
    <row r="4364" spans="12:12" x14ac:dyDescent="0.2">
      <c r="L4364" t="str">
        <f t="shared" si="69"/>
        <v/>
      </c>
    </row>
    <row r="4365" spans="12:12" x14ac:dyDescent="0.2">
      <c r="L4365" t="str">
        <f t="shared" si="69"/>
        <v/>
      </c>
    </row>
    <row r="4366" spans="12:12" x14ac:dyDescent="0.2">
      <c r="L4366" t="str">
        <f t="shared" si="69"/>
        <v/>
      </c>
    </row>
    <row r="4367" spans="12:12" x14ac:dyDescent="0.2">
      <c r="L4367" t="str">
        <f t="shared" si="69"/>
        <v/>
      </c>
    </row>
    <row r="4368" spans="12:12" x14ac:dyDescent="0.2">
      <c r="L4368" t="str">
        <f t="shared" si="69"/>
        <v/>
      </c>
    </row>
    <row r="4369" spans="12:12" x14ac:dyDescent="0.2">
      <c r="L4369" t="str">
        <f t="shared" si="69"/>
        <v/>
      </c>
    </row>
    <row r="4370" spans="12:12" x14ac:dyDescent="0.2">
      <c r="L4370" t="str">
        <f t="shared" si="69"/>
        <v/>
      </c>
    </row>
    <row r="4371" spans="12:12" x14ac:dyDescent="0.2">
      <c r="L4371" t="str">
        <f t="shared" si="69"/>
        <v/>
      </c>
    </row>
    <row r="4372" spans="12:12" x14ac:dyDescent="0.2">
      <c r="L4372" t="str">
        <f t="shared" si="69"/>
        <v/>
      </c>
    </row>
    <row r="4373" spans="12:12" x14ac:dyDescent="0.2">
      <c r="L4373" t="str">
        <f t="shared" si="69"/>
        <v/>
      </c>
    </row>
    <row r="4374" spans="12:12" x14ac:dyDescent="0.2">
      <c r="L4374" t="str">
        <f t="shared" si="69"/>
        <v/>
      </c>
    </row>
    <row r="4375" spans="12:12" x14ac:dyDescent="0.2">
      <c r="L4375" t="str">
        <f t="shared" si="69"/>
        <v/>
      </c>
    </row>
    <row r="4376" spans="12:12" x14ac:dyDescent="0.2">
      <c r="L4376" t="str">
        <f t="shared" si="69"/>
        <v/>
      </c>
    </row>
    <row r="4377" spans="12:12" x14ac:dyDescent="0.2">
      <c r="L4377" t="str">
        <f t="shared" si="69"/>
        <v/>
      </c>
    </row>
    <row r="4378" spans="12:12" x14ac:dyDescent="0.2">
      <c r="L4378" t="str">
        <f t="shared" si="69"/>
        <v/>
      </c>
    </row>
    <row r="4379" spans="12:12" x14ac:dyDescent="0.2">
      <c r="L4379" t="str">
        <f t="shared" si="69"/>
        <v/>
      </c>
    </row>
    <row r="4380" spans="12:12" x14ac:dyDescent="0.2">
      <c r="L4380" t="str">
        <f t="shared" si="69"/>
        <v/>
      </c>
    </row>
    <row r="4381" spans="12:12" x14ac:dyDescent="0.2">
      <c r="L4381" t="str">
        <f t="shared" si="69"/>
        <v/>
      </c>
    </row>
    <row r="4382" spans="12:12" x14ac:dyDescent="0.2">
      <c r="L4382" t="str">
        <f t="shared" si="69"/>
        <v/>
      </c>
    </row>
    <row r="4383" spans="12:12" x14ac:dyDescent="0.2">
      <c r="L4383" t="str">
        <f t="shared" si="69"/>
        <v/>
      </c>
    </row>
    <row r="4384" spans="12:12" x14ac:dyDescent="0.2">
      <c r="L4384" t="str">
        <f t="shared" si="69"/>
        <v/>
      </c>
    </row>
    <row r="4385" spans="12:12" x14ac:dyDescent="0.2">
      <c r="L4385" t="str">
        <f t="shared" si="69"/>
        <v/>
      </c>
    </row>
    <row r="4386" spans="12:12" x14ac:dyDescent="0.2">
      <c r="L4386" t="str">
        <f t="shared" si="69"/>
        <v/>
      </c>
    </row>
    <row r="4387" spans="12:12" x14ac:dyDescent="0.2">
      <c r="L4387" t="str">
        <f t="shared" si="69"/>
        <v/>
      </c>
    </row>
    <row r="4388" spans="12:12" x14ac:dyDescent="0.2">
      <c r="L4388" t="str">
        <f t="shared" si="69"/>
        <v/>
      </c>
    </row>
    <row r="4389" spans="12:12" x14ac:dyDescent="0.2">
      <c r="L4389" t="str">
        <f t="shared" si="69"/>
        <v/>
      </c>
    </row>
    <row r="4390" spans="12:12" x14ac:dyDescent="0.2">
      <c r="L4390" t="str">
        <f t="shared" si="69"/>
        <v/>
      </c>
    </row>
    <row r="4391" spans="12:12" x14ac:dyDescent="0.2">
      <c r="L4391" t="str">
        <f t="shared" si="69"/>
        <v/>
      </c>
    </row>
    <row r="4392" spans="12:12" x14ac:dyDescent="0.2">
      <c r="L4392" t="str">
        <f t="shared" si="69"/>
        <v/>
      </c>
    </row>
    <row r="4393" spans="12:12" x14ac:dyDescent="0.2">
      <c r="L4393" t="str">
        <f t="shared" si="69"/>
        <v/>
      </c>
    </row>
    <row r="4394" spans="12:12" x14ac:dyDescent="0.2">
      <c r="L4394" t="str">
        <f t="shared" si="69"/>
        <v/>
      </c>
    </row>
    <row r="4395" spans="12:12" x14ac:dyDescent="0.2">
      <c r="L4395" t="str">
        <f t="shared" si="69"/>
        <v/>
      </c>
    </row>
    <row r="4396" spans="12:12" x14ac:dyDescent="0.2">
      <c r="L4396" t="str">
        <f t="shared" si="69"/>
        <v/>
      </c>
    </row>
    <row r="4397" spans="12:12" x14ac:dyDescent="0.2">
      <c r="L4397" t="str">
        <f t="shared" si="69"/>
        <v/>
      </c>
    </row>
    <row r="4398" spans="12:12" x14ac:dyDescent="0.2">
      <c r="L4398" t="str">
        <f t="shared" si="69"/>
        <v/>
      </c>
    </row>
    <row r="4399" spans="12:12" x14ac:dyDescent="0.2">
      <c r="L4399" t="str">
        <f t="shared" si="69"/>
        <v/>
      </c>
    </row>
    <row r="4400" spans="12:12" x14ac:dyDescent="0.2">
      <c r="L4400" t="str">
        <f t="shared" si="69"/>
        <v/>
      </c>
    </row>
    <row r="4401" spans="12:12" x14ac:dyDescent="0.2">
      <c r="L4401" t="str">
        <f t="shared" si="69"/>
        <v/>
      </c>
    </row>
    <row r="4402" spans="12:12" x14ac:dyDescent="0.2">
      <c r="L4402" t="str">
        <f t="shared" si="69"/>
        <v/>
      </c>
    </row>
    <row r="4403" spans="12:12" x14ac:dyDescent="0.2">
      <c r="L4403" t="str">
        <f t="shared" si="69"/>
        <v/>
      </c>
    </row>
    <row r="4404" spans="12:12" x14ac:dyDescent="0.2">
      <c r="L4404" t="str">
        <f t="shared" si="69"/>
        <v/>
      </c>
    </row>
    <row r="4405" spans="12:12" x14ac:dyDescent="0.2">
      <c r="L4405" t="str">
        <f t="shared" si="69"/>
        <v/>
      </c>
    </row>
    <row r="4406" spans="12:12" x14ac:dyDescent="0.2">
      <c r="L4406" t="str">
        <f t="shared" si="69"/>
        <v/>
      </c>
    </row>
    <row r="4407" spans="12:12" x14ac:dyDescent="0.2">
      <c r="L4407" t="str">
        <f t="shared" si="69"/>
        <v/>
      </c>
    </row>
    <row r="4408" spans="12:12" x14ac:dyDescent="0.2">
      <c r="L4408" t="str">
        <f t="shared" si="69"/>
        <v/>
      </c>
    </row>
    <row r="4409" spans="12:12" x14ac:dyDescent="0.2">
      <c r="L4409" t="str">
        <f t="shared" si="69"/>
        <v/>
      </c>
    </row>
    <row r="4410" spans="12:12" x14ac:dyDescent="0.2">
      <c r="L4410" t="str">
        <f t="shared" si="69"/>
        <v/>
      </c>
    </row>
    <row r="4411" spans="12:12" x14ac:dyDescent="0.2">
      <c r="L4411" t="str">
        <f t="shared" si="69"/>
        <v/>
      </c>
    </row>
    <row r="4412" spans="12:12" x14ac:dyDescent="0.2">
      <c r="L4412" t="str">
        <f t="shared" si="69"/>
        <v/>
      </c>
    </row>
    <row r="4413" spans="12:12" x14ac:dyDescent="0.2">
      <c r="L4413" t="str">
        <f t="shared" si="69"/>
        <v/>
      </c>
    </row>
    <row r="4414" spans="12:12" x14ac:dyDescent="0.2">
      <c r="L4414" t="str">
        <f t="shared" si="69"/>
        <v/>
      </c>
    </row>
    <row r="4415" spans="12:12" x14ac:dyDescent="0.2">
      <c r="L4415" t="str">
        <f t="shared" si="69"/>
        <v/>
      </c>
    </row>
    <row r="4416" spans="12:12" x14ac:dyDescent="0.2">
      <c r="L4416" t="str">
        <f t="shared" si="69"/>
        <v/>
      </c>
    </row>
    <row r="4417" spans="12:12" x14ac:dyDescent="0.2">
      <c r="L4417" t="str">
        <f t="shared" si="69"/>
        <v/>
      </c>
    </row>
    <row r="4418" spans="12:12" x14ac:dyDescent="0.2">
      <c r="L4418" t="str">
        <f t="shared" si="69"/>
        <v/>
      </c>
    </row>
    <row r="4419" spans="12:12" x14ac:dyDescent="0.2">
      <c r="L4419" t="str">
        <f t="shared" si="69"/>
        <v/>
      </c>
    </row>
    <row r="4420" spans="12:12" x14ac:dyDescent="0.2">
      <c r="L4420" t="str">
        <f t="shared" ref="L4420:L4483" si="70">IF(L4419&lt;$I$15,L4419+$I$16,"")</f>
        <v/>
      </c>
    </row>
    <row r="4421" spans="12:12" x14ac:dyDescent="0.2">
      <c r="L4421" t="str">
        <f t="shared" si="70"/>
        <v/>
      </c>
    </row>
    <row r="4422" spans="12:12" x14ac:dyDescent="0.2">
      <c r="L4422" t="str">
        <f t="shared" si="70"/>
        <v/>
      </c>
    </row>
    <row r="4423" spans="12:12" x14ac:dyDescent="0.2">
      <c r="L4423" t="str">
        <f t="shared" si="70"/>
        <v/>
      </c>
    </row>
    <row r="4424" spans="12:12" x14ac:dyDescent="0.2">
      <c r="L4424" t="str">
        <f t="shared" si="70"/>
        <v/>
      </c>
    </row>
    <row r="4425" spans="12:12" x14ac:dyDescent="0.2">
      <c r="L4425" t="str">
        <f t="shared" si="70"/>
        <v/>
      </c>
    </row>
    <row r="4426" spans="12:12" x14ac:dyDescent="0.2">
      <c r="L4426" t="str">
        <f t="shared" si="70"/>
        <v/>
      </c>
    </row>
    <row r="4427" spans="12:12" x14ac:dyDescent="0.2">
      <c r="L4427" t="str">
        <f t="shared" si="70"/>
        <v/>
      </c>
    </row>
    <row r="4428" spans="12:12" x14ac:dyDescent="0.2">
      <c r="L4428" t="str">
        <f t="shared" si="70"/>
        <v/>
      </c>
    </row>
    <row r="4429" spans="12:12" x14ac:dyDescent="0.2">
      <c r="L4429" t="str">
        <f t="shared" si="70"/>
        <v/>
      </c>
    </row>
    <row r="4430" spans="12:12" x14ac:dyDescent="0.2">
      <c r="L4430" t="str">
        <f t="shared" si="70"/>
        <v/>
      </c>
    </row>
    <row r="4431" spans="12:12" x14ac:dyDescent="0.2">
      <c r="L4431" t="str">
        <f t="shared" si="70"/>
        <v/>
      </c>
    </row>
    <row r="4432" spans="12:12" x14ac:dyDescent="0.2">
      <c r="L4432" t="str">
        <f t="shared" si="70"/>
        <v/>
      </c>
    </row>
    <row r="4433" spans="12:12" x14ac:dyDescent="0.2">
      <c r="L4433" t="str">
        <f t="shared" si="70"/>
        <v/>
      </c>
    </row>
    <row r="4434" spans="12:12" x14ac:dyDescent="0.2">
      <c r="L4434" t="str">
        <f t="shared" si="70"/>
        <v/>
      </c>
    </row>
    <row r="4435" spans="12:12" x14ac:dyDescent="0.2">
      <c r="L4435" t="str">
        <f t="shared" si="70"/>
        <v/>
      </c>
    </row>
    <row r="4436" spans="12:12" x14ac:dyDescent="0.2">
      <c r="L4436" t="str">
        <f t="shared" si="70"/>
        <v/>
      </c>
    </row>
    <row r="4437" spans="12:12" x14ac:dyDescent="0.2">
      <c r="L4437" t="str">
        <f t="shared" si="70"/>
        <v/>
      </c>
    </row>
    <row r="4438" spans="12:12" x14ac:dyDescent="0.2">
      <c r="L4438" t="str">
        <f t="shared" si="70"/>
        <v/>
      </c>
    </row>
    <row r="4439" spans="12:12" x14ac:dyDescent="0.2">
      <c r="L4439" t="str">
        <f t="shared" si="70"/>
        <v/>
      </c>
    </row>
    <row r="4440" spans="12:12" x14ac:dyDescent="0.2">
      <c r="L4440" t="str">
        <f t="shared" si="70"/>
        <v/>
      </c>
    </row>
    <row r="4441" spans="12:12" x14ac:dyDescent="0.2">
      <c r="L4441" t="str">
        <f t="shared" si="70"/>
        <v/>
      </c>
    </row>
    <row r="4442" spans="12:12" x14ac:dyDescent="0.2">
      <c r="L4442" t="str">
        <f t="shared" si="70"/>
        <v/>
      </c>
    </row>
    <row r="4443" spans="12:12" x14ac:dyDescent="0.2">
      <c r="L4443" t="str">
        <f t="shared" si="70"/>
        <v/>
      </c>
    </row>
    <row r="4444" spans="12:12" x14ac:dyDescent="0.2">
      <c r="L4444" t="str">
        <f t="shared" si="70"/>
        <v/>
      </c>
    </row>
    <row r="4445" spans="12:12" x14ac:dyDescent="0.2">
      <c r="L4445" t="str">
        <f t="shared" si="70"/>
        <v/>
      </c>
    </row>
    <row r="4446" spans="12:12" x14ac:dyDescent="0.2">
      <c r="L4446" t="str">
        <f t="shared" si="70"/>
        <v/>
      </c>
    </row>
    <row r="4447" spans="12:12" x14ac:dyDescent="0.2">
      <c r="L4447" t="str">
        <f t="shared" si="70"/>
        <v/>
      </c>
    </row>
    <row r="4448" spans="12:12" x14ac:dyDescent="0.2">
      <c r="L4448" t="str">
        <f t="shared" si="70"/>
        <v/>
      </c>
    </row>
    <row r="4449" spans="12:12" x14ac:dyDescent="0.2">
      <c r="L4449" t="str">
        <f t="shared" si="70"/>
        <v/>
      </c>
    </row>
    <row r="4450" spans="12:12" x14ac:dyDescent="0.2">
      <c r="L4450" t="str">
        <f t="shared" si="70"/>
        <v/>
      </c>
    </row>
    <row r="4451" spans="12:12" x14ac:dyDescent="0.2">
      <c r="L4451" t="str">
        <f t="shared" si="70"/>
        <v/>
      </c>
    </row>
    <row r="4452" spans="12:12" x14ac:dyDescent="0.2">
      <c r="L4452" t="str">
        <f t="shared" si="70"/>
        <v/>
      </c>
    </row>
    <row r="4453" spans="12:12" x14ac:dyDescent="0.2">
      <c r="L4453" t="str">
        <f t="shared" si="70"/>
        <v/>
      </c>
    </row>
    <row r="4454" spans="12:12" x14ac:dyDescent="0.2">
      <c r="L4454" t="str">
        <f t="shared" si="70"/>
        <v/>
      </c>
    </row>
    <row r="4455" spans="12:12" x14ac:dyDescent="0.2">
      <c r="L4455" t="str">
        <f t="shared" si="70"/>
        <v/>
      </c>
    </row>
    <row r="4456" spans="12:12" x14ac:dyDescent="0.2">
      <c r="L4456" t="str">
        <f t="shared" si="70"/>
        <v/>
      </c>
    </row>
    <row r="4457" spans="12:12" x14ac:dyDescent="0.2">
      <c r="L4457" t="str">
        <f t="shared" si="70"/>
        <v/>
      </c>
    </row>
    <row r="4458" spans="12:12" x14ac:dyDescent="0.2">
      <c r="L4458" t="str">
        <f t="shared" si="70"/>
        <v/>
      </c>
    </row>
    <row r="4459" spans="12:12" x14ac:dyDescent="0.2">
      <c r="L4459" t="str">
        <f t="shared" si="70"/>
        <v/>
      </c>
    </row>
    <row r="4460" spans="12:12" x14ac:dyDescent="0.2">
      <c r="L4460" t="str">
        <f t="shared" si="70"/>
        <v/>
      </c>
    </row>
    <row r="4461" spans="12:12" x14ac:dyDescent="0.2">
      <c r="L4461" t="str">
        <f t="shared" si="70"/>
        <v/>
      </c>
    </row>
    <row r="4462" spans="12:12" x14ac:dyDescent="0.2">
      <c r="L4462" t="str">
        <f t="shared" si="70"/>
        <v/>
      </c>
    </row>
    <row r="4463" spans="12:12" x14ac:dyDescent="0.2">
      <c r="L4463" t="str">
        <f t="shared" si="70"/>
        <v/>
      </c>
    </row>
    <row r="4464" spans="12:12" x14ac:dyDescent="0.2">
      <c r="L4464" t="str">
        <f t="shared" si="70"/>
        <v/>
      </c>
    </row>
    <row r="4465" spans="12:12" x14ac:dyDescent="0.2">
      <c r="L4465" t="str">
        <f t="shared" si="70"/>
        <v/>
      </c>
    </row>
    <row r="4466" spans="12:12" x14ac:dyDescent="0.2">
      <c r="L4466" t="str">
        <f t="shared" si="70"/>
        <v/>
      </c>
    </row>
    <row r="4467" spans="12:12" x14ac:dyDescent="0.2">
      <c r="L4467" t="str">
        <f t="shared" si="70"/>
        <v/>
      </c>
    </row>
    <row r="4468" spans="12:12" x14ac:dyDescent="0.2">
      <c r="L4468" t="str">
        <f t="shared" si="70"/>
        <v/>
      </c>
    </row>
    <row r="4469" spans="12:12" x14ac:dyDescent="0.2">
      <c r="L4469" t="str">
        <f t="shared" si="70"/>
        <v/>
      </c>
    </row>
    <row r="4470" spans="12:12" x14ac:dyDescent="0.2">
      <c r="L4470" t="str">
        <f t="shared" si="70"/>
        <v/>
      </c>
    </row>
    <row r="4471" spans="12:12" x14ac:dyDescent="0.2">
      <c r="L4471" t="str">
        <f t="shared" si="70"/>
        <v/>
      </c>
    </row>
    <row r="4472" spans="12:12" x14ac:dyDescent="0.2">
      <c r="L4472" t="str">
        <f t="shared" si="70"/>
        <v/>
      </c>
    </row>
    <row r="4473" spans="12:12" x14ac:dyDescent="0.2">
      <c r="L4473" t="str">
        <f t="shared" si="70"/>
        <v/>
      </c>
    </row>
    <row r="4474" spans="12:12" x14ac:dyDescent="0.2">
      <c r="L4474" t="str">
        <f t="shared" si="70"/>
        <v/>
      </c>
    </row>
    <row r="4475" spans="12:12" x14ac:dyDescent="0.2">
      <c r="L4475" t="str">
        <f t="shared" si="70"/>
        <v/>
      </c>
    </row>
    <row r="4476" spans="12:12" x14ac:dyDescent="0.2">
      <c r="L4476" t="str">
        <f t="shared" si="70"/>
        <v/>
      </c>
    </row>
    <row r="4477" spans="12:12" x14ac:dyDescent="0.2">
      <c r="L4477" t="str">
        <f t="shared" si="70"/>
        <v/>
      </c>
    </row>
    <row r="4478" spans="12:12" x14ac:dyDescent="0.2">
      <c r="L4478" t="str">
        <f t="shared" si="70"/>
        <v/>
      </c>
    </row>
    <row r="4479" spans="12:12" x14ac:dyDescent="0.2">
      <c r="L4479" t="str">
        <f t="shared" si="70"/>
        <v/>
      </c>
    </row>
    <row r="4480" spans="12:12" x14ac:dyDescent="0.2">
      <c r="L4480" t="str">
        <f t="shared" si="70"/>
        <v/>
      </c>
    </row>
    <row r="4481" spans="12:12" x14ac:dyDescent="0.2">
      <c r="L4481" t="str">
        <f t="shared" si="70"/>
        <v/>
      </c>
    </row>
    <row r="4482" spans="12:12" x14ac:dyDescent="0.2">
      <c r="L4482" t="str">
        <f t="shared" si="70"/>
        <v/>
      </c>
    </row>
    <row r="4483" spans="12:12" x14ac:dyDescent="0.2">
      <c r="L4483" t="str">
        <f t="shared" si="70"/>
        <v/>
      </c>
    </row>
    <row r="4484" spans="12:12" x14ac:dyDescent="0.2">
      <c r="L4484" t="str">
        <f t="shared" ref="L4484:L4547" si="71">IF(L4483&lt;$I$15,L4483+$I$16,"")</f>
        <v/>
      </c>
    </row>
    <row r="4485" spans="12:12" x14ac:dyDescent="0.2">
      <c r="L4485" t="str">
        <f t="shared" si="71"/>
        <v/>
      </c>
    </row>
    <row r="4486" spans="12:12" x14ac:dyDescent="0.2">
      <c r="L4486" t="str">
        <f t="shared" si="71"/>
        <v/>
      </c>
    </row>
    <row r="4487" spans="12:12" x14ac:dyDescent="0.2">
      <c r="L4487" t="str">
        <f t="shared" si="71"/>
        <v/>
      </c>
    </row>
    <row r="4488" spans="12:12" x14ac:dyDescent="0.2">
      <c r="L4488" t="str">
        <f t="shared" si="71"/>
        <v/>
      </c>
    </row>
    <row r="4489" spans="12:12" x14ac:dyDescent="0.2">
      <c r="L4489" t="str">
        <f t="shared" si="71"/>
        <v/>
      </c>
    </row>
    <row r="4490" spans="12:12" x14ac:dyDescent="0.2">
      <c r="L4490" t="str">
        <f t="shared" si="71"/>
        <v/>
      </c>
    </row>
    <row r="4491" spans="12:12" x14ac:dyDescent="0.2">
      <c r="L4491" t="str">
        <f t="shared" si="71"/>
        <v/>
      </c>
    </row>
    <row r="4492" spans="12:12" x14ac:dyDescent="0.2">
      <c r="L4492" t="str">
        <f t="shared" si="71"/>
        <v/>
      </c>
    </row>
    <row r="4493" spans="12:12" x14ac:dyDescent="0.2">
      <c r="L4493" t="str">
        <f t="shared" si="71"/>
        <v/>
      </c>
    </row>
    <row r="4494" spans="12:12" x14ac:dyDescent="0.2">
      <c r="L4494" t="str">
        <f t="shared" si="71"/>
        <v/>
      </c>
    </row>
    <row r="4495" spans="12:12" x14ac:dyDescent="0.2">
      <c r="L4495" t="str">
        <f t="shared" si="71"/>
        <v/>
      </c>
    </row>
    <row r="4496" spans="12:12" x14ac:dyDescent="0.2">
      <c r="L4496" t="str">
        <f t="shared" si="71"/>
        <v/>
      </c>
    </row>
    <row r="4497" spans="12:12" x14ac:dyDescent="0.2">
      <c r="L4497" t="str">
        <f t="shared" si="71"/>
        <v/>
      </c>
    </row>
    <row r="4498" spans="12:12" x14ac:dyDescent="0.2">
      <c r="L4498" t="str">
        <f t="shared" si="71"/>
        <v/>
      </c>
    </row>
    <row r="4499" spans="12:12" x14ac:dyDescent="0.2">
      <c r="L4499" t="str">
        <f t="shared" si="71"/>
        <v/>
      </c>
    </row>
    <row r="4500" spans="12:12" x14ac:dyDescent="0.2">
      <c r="L4500" t="str">
        <f t="shared" si="71"/>
        <v/>
      </c>
    </row>
    <row r="4501" spans="12:12" x14ac:dyDescent="0.2">
      <c r="L4501" t="str">
        <f t="shared" si="71"/>
        <v/>
      </c>
    </row>
    <row r="4502" spans="12:12" x14ac:dyDescent="0.2">
      <c r="L4502" t="str">
        <f t="shared" si="71"/>
        <v/>
      </c>
    </row>
    <row r="4503" spans="12:12" x14ac:dyDescent="0.2">
      <c r="L4503" t="str">
        <f t="shared" si="71"/>
        <v/>
      </c>
    </row>
    <row r="4504" spans="12:12" x14ac:dyDescent="0.2">
      <c r="L4504" t="str">
        <f t="shared" si="71"/>
        <v/>
      </c>
    </row>
    <row r="4505" spans="12:12" x14ac:dyDescent="0.2">
      <c r="L4505" t="str">
        <f t="shared" si="71"/>
        <v/>
      </c>
    </row>
    <row r="4506" spans="12:12" x14ac:dyDescent="0.2">
      <c r="L4506" t="str">
        <f t="shared" si="71"/>
        <v/>
      </c>
    </row>
    <row r="4507" spans="12:12" x14ac:dyDescent="0.2">
      <c r="L4507" t="str">
        <f t="shared" si="71"/>
        <v/>
      </c>
    </row>
    <row r="4508" spans="12:12" x14ac:dyDescent="0.2">
      <c r="L4508" t="str">
        <f t="shared" si="71"/>
        <v/>
      </c>
    </row>
    <row r="4509" spans="12:12" x14ac:dyDescent="0.2">
      <c r="L4509" t="str">
        <f t="shared" si="71"/>
        <v/>
      </c>
    </row>
    <row r="4510" spans="12:12" x14ac:dyDescent="0.2">
      <c r="L4510" t="str">
        <f t="shared" si="71"/>
        <v/>
      </c>
    </row>
    <row r="4511" spans="12:12" x14ac:dyDescent="0.2">
      <c r="L4511" t="str">
        <f t="shared" si="71"/>
        <v/>
      </c>
    </row>
    <row r="4512" spans="12:12" x14ac:dyDescent="0.2">
      <c r="L4512" t="str">
        <f t="shared" si="71"/>
        <v/>
      </c>
    </row>
    <row r="4513" spans="12:12" x14ac:dyDescent="0.2">
      <c r="L4513" t="str">
        <f t="shared" si="71"/>
        <v/>
      </c>
    </row>
    <row r="4514" spans="12:12" x14ac:dyDescent="0.2">
      <c r="L4514" t="str">
        <f t="shared" si="71"/>
        <v/>
      </c>
    </row>
    <row r="4515" spans="12:12" x14ac:dyDescent="0.2">
      <c r="L4515" t="str">
        <f t="shared" si="71"/>
        <v/>
      </c>
    </row>
    <row r="4516" spans="12:12" x14ac:dyDescent="0.2">
      <c r="L4516" t="str">
        <f t="shared" si="71"/>
        <v/>
      </c>
    </row>
    <row r="4517" spans="12:12" x14ac:dyDescent="0.2">
      <c r="L4517" t="str">
        <f t="shared" si="71"/>
        <v/>
      </c>
    </row>
    <row r="4518" spans="12:12" x14ac:dyDescent="0.2">
      <c r="L4518" t="str">
        <f t="shared" si="71"/>
        <v/>
      </c>
    </row>
    <row r="4519" spans="12:12" x14ac:dyDescent="0.2">
      <c r="L4519" t="str">
        <f t="shared" si="71"/>
        <v/>
      </c>
    </row>
    <row r="4520" spans="12:12" x14ac:dyDescent="0.2">
      <c r="L4520" t="str">
        <f t="shared" si="71"/>
        <v/>
      </c>
    </row>
    <row r="4521" spans="12:12" x14ac:dyDescent="0.2">
      <c r="L4521" t="str">
        <f t="shared" si="71"/>
        <v/>
      </c>
    </row>
    <row r="4522" spans="12:12" x14ac:dyDescent="0.2">
      <c r="L4522" t="str">
        <f t="shared" si="71"/>
        <v/>
      </c>
    </row>
    <row r="4523" spans="12:12" x14ac:dyDescent="0.2">
      <c r="L4523" t="str">
        <f t="shared" si="71"/>
        <v/>
      </c>
    </row>
    <row r="4524" spans="12:12" x14ac:dyDescent="0.2">
      <c r="L4524" t="str">
        <f t="shared" si="71"/>
        <v/>
      </c>
    </row>
    <row r="4525" spans="12:12" x14ac:dyDescent="0.2">
      <c r="L4525" t="str">
        <f t="shared" si="71"/>
        <v/>
      </c>
    </row>
    <row r="4526" spans="12:12" x14ac:dyDescent="0.2">
      <c r="L4526" t="str">
        <f t="shared" si="71"/>
        <v/>
      </c>
    </row>
    <row r="4527" spans="12:12" x14ac:dyDescent="0.2">
      <c r="L4527" t="str">
        <f t="shared" si="71"/>
        <v/>
      </c>
    </row>
    <row r="4528" spans="12:12" x14ac:dyDescent="0.2">
      <c r="L4528" t="str">
        <f t="shared" si="71"/>
        <v/>
      </c>
    </row>
    <row r="4529" spans="12:12" x14ac:dyDescent="0.2">
      <c r="L4529" t="str">
        <f t="shared" si="71"/>
        <v/>
      </c>
    </row>
    <row r="4530" spans="12:12" x14ac:dyDescent="0.2">
      <c r="L4530" t="str">
        <f t="shared" si="71"/>
        <v/>
      </c>
    </row>
    <row r="4531" spans="12:12" x14ac:dyDescent="0.2">
      <c r="L4531" t="str">
        <f t="shared" si="71"/>
        <v/>
      </c>
    </row>
    <row r="4532" spans="12:12" x14ac:dyDescent="0.2">
      <c r="L4532" t="str">
        <f t="shared" si="71"/>
        <v/>
      </c>
    </row>
    <row r="4533" spans="12:12" x14ac:dyDescent="0.2">
      <c r="L4533" t="str">
        <f t="shared" si="71"/>
        <v/>
      </c>
    </row>
    <row r="4534" spans="12:12" x14ac:dyDescent="0.2">
      <c r="L4534" t="str">
        <f t="shared" si="71"/>
        <v/>
      </c>
    </row>
    <row r="4535" spans="12:12" x14ac:dyDescent="0.2">
      <c r="L4535" t="str">
        <f t="shared" si="71"/>
        <v/>
      </c>
    </row>
    <row r="4536" spans="12:12" x14ac:dyDescent="0.2">
      <c r="L4536" t="str">
        <f t="shared" si="71"/>
        <v/>
      </c>
    </row>
    <row r="4537" spans="12:12" x14ac:dyDescent="0.2">
      <c r="L4537" t="str">
        <f t="shared" si="71"/>
        <v/>
      </c>
    </row>
    <row r="4538" spans="12:12" x14ac:dyDescent="0.2">
      <c r="L4538" t="str">
        <f t="shared" si="71"/>
        <v/>
      </c>
    </row>
    <row r="4539" spans="12:12" x14ac:dyDescent="0.2">
      <c r="L4539" t="str">
        <f t="shared" si="71"/>
        <v/>
      </c>
    </row>
    <row r="4540" spans="12:12" x14ac:dyDescent="0.2">
      <c r="L4540" t="str">
        <f t="shared" si="71"/>
        <v/>
      </c>
    </row>
    <row r="4541" spans="12:12" x14ac:dyDescent="0.2">
      <c r="L4541" t="str">
        <f t="shared" si="71"/>
        <v/>
      </c>
    </row>
    <row r="4542" spans="12:12" x14ac:dyDescent="0.2">
      <c r="L4542" t="str">
        <f t="shared" si="71"/>
        <v/>
      </c>
    </row>
    <row r="4543" spans="12:12" x14ac:dyDescent="0.2">
      <c r="L4543" t="str">
        <f t="shared" si="71"/>
        <v/>
      </c>
    </row>
    <row r="4544" spans="12:12" x14ac:dyDescent="0.2">
      <c r="L4544" t="str">
        <f t="shared" si="71"/>
        <v/>
      </c>
    </row>
    <row r="4545" spans="12:12" x14ac:dyDescent="0.2">
      <c r="L4545" t="str">
        <f t="shared" si="71"/>
        <v/>
      </c>
    </row>
    <row r="4546" spans="12:12" x14ac:dyDescent="0.2">
      <c r="L4546" t="str">
        <f t="shared" si="71"/>
        <v/>
      </c>
    </row>
    <row r="4547" spans="12:12" x14ac:dyDescent="0.2">
      <c r="L4547" t="str">
        <f t="shared" si="71"/>
        <v/>
      </c>
    </row>
    <row r="4548" spans="12:12" x14ac:dyDescent="0.2">
      <c r="L4548" t="str">
        <f t="shared" ref="L4548:L4611" si="72">IF(L4547&lt;$I$15,L4547+$I$16,"")</f>
        <v/>
      </c>
    </row>
    <row r="4549" spans="12:12" x14ac:dyDescent="0.2">
      <c r="L4549" t="str">
        <f t="shared" si="72"/>
        <v/>
      </c>
    </row>
    <row r="4550" spans="12:12" x14ac:dyDescent="0.2">
      <c r="L4550" t="str">
        <f t="shared" si="72"/>
        <v/>
      </c>
    </row>
    <row r="4551" spans="12:12" x14ac:dyDescent="0.2">
      <c r="L4551" t="str">
        <f t="shared" si="72"/>
        <v/>
      </c>
    </row>
    <row r="4552" spans="12:12" x14ac:dyDescent="0.2">
      <c r="L4552" t="str">
        <f t="shared" si="72"/>
        <v/>
      </c>
    </row>
    <row r="4553" spans="12:12" x14ac:dyDescent="0.2">
      <c r="L4553" t="str">
        <f t="shared" si="72"/>
        <v/>
      </c>
    </row>
    <row r="4554" spans="12:12" x14ac:dyDescent="0.2">
      <c r="L4554" t="str">
        <f t="shared" si="72"/>
        <v/>
      </c>
    </row>
    <row r="4555" spans="12:12" x14ac:dyDescent="0.2">
      <c r="L4555" t="str">
        <f t="shared" si="72"/>
        <v/>
      </c>
    </row>
    <row r="4556" spans="12:12" x14ac:dyDescent="0.2">
      <c r="L4556" t="str">
        <f t="shared" si="72"/>
        <v/>
      </c>
    </row>
    <row r="4557" spans="12:12" x14ac:dyDescent="0.2">
      <c r="L4557" t="str">
        <f t="shared" si="72"/>
        <v/>
      </c>
    </row>
    <row r="4558" spans="12:12" x14ac:dyDescent="0.2">
      <c r="L4558" t="str">
        <f t="shared" si="72"/>
        <v/>
      </c>
    </row>
    <row r="4559" spans="12:12" x14ac:dyDescent="0.2">
      <c r="L4559" t="str">
        <f t="shared" si="72"/>
        <v/>
      </c>
    </row>
    <row r="4560" spans="12:12" x14ac:dyDescent="0.2">
      <c r="L4560" t="str">
        <f t="shared" si="72"/>
        <v/>
      </c>
    </row>
    <row r="4561" spans="12:12" x14ac:dyDescent="0.2">
      <c r="L4561" t="str">
        <f t="shared" si="72"/>
        <v/>
      </c>
    </row>
    <row r="4562" spans="12:12" x14ac:dyDescent="0.2">
      <c r="L4562" t="str">
        <f t="shared" si="72"/>
        <v/>
      </c>
    </row>
    <row r="4563" spans="12:12" x14ac:dyDescent="0.2">
      <c r="L4563" t="str">
        <f t="shared" si="72"/>
        <v/>
      </c>
    </row>
    <row r="4564" spans="12:12" x14ac:dyDescent="0.2">
      <c r="L4564" t="str">
        <f t="shared" si="72"/>
        <v/>
      </c>
    </row>
    <row r="4565" spans="12:12" x14ac:dyDescent="0.2">
      <c r="L4565" t="str">
        <f t="shared" si="72"/>
        <v/>
      </c>
    </row>
    <row r="4566" spans="12:12" x14ac:dyDescent="0.2">
      <c r="L4566" t="str">
        <f t="shared" si="72"/>
        <v/>
      </c>
    </row>
    <row r="4567" spans="12:12" x14ac:dyDescent="0.2">
      <c r="L4567" t="str">
        <f t="shared" si="72"/>
        <v/>
      </c>
    </row>
    <row r="4568" spans="12:12" x14ac:dyDescent="0.2">
      <c r="L4568" t="str">
        <f t="shared" si="72"/>
        <v/>
      </c>
    </row>
    <row r="4569" spans="12:12" x14ac:dyDescent="0.2">
      <c r="L4569" t="str">
        <f t="shared" si="72"/>
        <v/>
      </c>
    </row>
    <row r="4570" spans="12:12" x14ac:dyDescent="0.2">
      <c r="L4570" t="str">
        <f t="shared" si="72"/>
        <v/>
      </c>
    </row>
    <row r="4571" spans="12:12" x14ac:dyDescent="0.2">
      <c r="L4571" t="str">
        <f t="shared" si="72"/>
        <v/>
      </c>
    </row>
    <row r="4572" spans="12:12" x14ac:dyDescent="0.2">
      <c r="L4572" t="str">
        <f t="shared" si="72"/>
        <v/>
      </c>
    </row>
    <row r="4573" spans="12:12" x14ac:dyDescent="0.2">
      <c r="L4573" t="str">
        <f t="shared" si="72"/>
        <v/>
      </c>
    </row>
    <row r="4574" spans="12:12" x14ac:dyDescent="0.2">
      <c r="L4574" t="str">
        <f t="shared" si="72"/>
        <v/>
      </c>
    </row>
    <row r="4575" spans="12:12" x14ac:dyDescent="0.2">
      <c r="L4575" t="str">
        <f t="shared" si="72"/>
        <v/>
      </c>
    </row>
    <row r="4576" spans="12:12" x14ac:dyDescent="0.2">
      <c r="L4576" t="str">
        <f t="shared" si="72"/>
        <v/>
      </c>
    </row>
    <row r="4577" spans="12:12" x14ac:dyDescent="0.2">
      <c r="L4577" t="str">
        <f t="shared" si="72"/>
        <v/>
      </c>
    </row>
    <row r="4578" spans="12:12" x14ac:dyDescent="0.2">
      <c r="L4578" t="str">
        <f t="shared" si="72"/>
        <v/>
      </c>
    </row>
    <row r="4579" spans="12:12" x14ac:dyDescent="0.2">
      <c r="L4579" t="str">
        <f t="shared" si="72"/>
        <v/>
      </c>
    </row>
    <row r="4580" spans="12:12" x14ac:dyDescent="0.2">
      <c r="L4580" t="str">
        <f t="shared" si="72"/>
        <v/>
      </c>
    </row>
    <row r="4581" spans="12:12" x14ac:dyDescent="0.2">
      <c r="L4581" t="str">
        <f t="shared" si="72"/>
        <v/>
      </c>
    </row>
    <row r="4582" spans="12:12" x14ac:dyDescent="0.2">
      <c r="L4582" t="str">
        <f t="shared" si="72"/>
        <v/>
      </c>
    </row>
    <row r="4583" spans="12:12" x14ac:dyDescent="0.2">
      <c r="L4583" t="str">
        <f t="shared" si="72"/>
        <v/>
      </c>
    </row>
    <row r="4584" spans="12:12" x14ac:dyDescent="0.2">
      <c r="L4584" t="str">
        <f t="shared" si="72"/>
        <v/>
      </c>
    </row>
    <row r="4585" spans="12:12" x14ac:dyDescent="0.2">
      <c r="L4585" t="str">
        <f t="shared" si="72"/>
        <v/>
      </c>
    </row>
    <row r="4586" spans="12:12" x14ac:dyDescent="0.2">
      <c r="L4586" t="str">
        <f t="shared" si="72"/>
        <v/>
      </c>
    </row>
    <row r="4587" spans="12:12" x14ac:dyDescent="0.2">
      <c r="L4587" t="str">
        <f t="shared" si="72"/>
        <v/>
      </c>
    </row>
    <row r="4588" spans="12:12" x14ac:dyDescent="0.2">
      <c r="L4588" t="str">
        <f t="shared" si="72"/>
        <v/>
      </c>
    </row>
    <row r="4589" spans="12:12" x14ac:dyDescent="0.2">
      <c r="L4589" t="str">
        <f t="shared" si="72"/>
        <v/>
      </c>
    </row>
    <row r="4590" spans="12:12" x14ac:dyDescent="0.2">
      <c r="L4590" t="str">
        <f t="shared" si="72"/>
        <v/>
      </c>
    </row>
    <row r="4591" spans="12:12" x14ac:dyDescent="0.2">
      <c r="L4591" t="str">
        <f t="shared" si="72"/>
        <v/>
      </c>
    </row>
    <row r="4592" spans="12:12" x14ac:dyDescent="0.2">
      <c r="L4592" t="str">
        <f t="shared" si="72"/>
        <v/>
      </c>
    </row>
    <row r="4593" spans="12:12" x14ac:dyDescent="0.2">
      <c r="L4593" t="str">
        <f t="shared" si="72"/>
        <v/>
      </c>
    </row>
    <row r="4594" spans="12:12" x14ac:dyDescent="0.2">
      <c r="L4594" t="str">
        <f t="shared" si="72"/>
        <v/>
      </c>
    </row>
    <row r="4595" spans="12:12" x14ac:dyDescent="0.2">
      <c r="L4595" t="str">
        <f t="shared" si="72"/>
        <v/>
      </c>
    </row>
    <row r="4596" spans="12:12" x14ac:dyDescent="0.2">
      <c r="L4596" t="str">
        <f t="shared" si="72"/>
        <v/>
      </c>
    </row>
    <row r="4597" spans="12:12" x14ac:dyDescent="0.2">
      <c r="L4597" t="str">
        <f t="shared" si="72"/>
        <v/>
      </c>
    </row>
    <row r="4598" spans="12:12" x14ac:dyDescent="0.2">
      <c r="L4598" t="str">
        <f t="shared" si="72"/>
        <v/>
      </c>
    </row>
    <row r="4599" spans="12:12" x14ac:dyDescent="0.2">
      <c r="L4599" t="str">
        <f t="shared" si="72"/>
        <v/>
      </c>
    </row>
    <row r="4600" spans="12:12" x14ac:dyDescent="0.2">
      <c r="L4600" t="str">
        <f t="shared" si="72"/>
        <v/>
      </c>
    </row>
    <row r="4601" spans="12:12" x14ac:dyDescent="0.2">
      <c r="L4601" t="str">
        <f t="shared" si="72"/>
        <v/>
      </c>
    </row>
    <row r="4602" spans="12:12" x14ac:dyDescent="0.2">
      <c r="L4602" t="str">
        <f t="shared" si="72"/>
        <v/>
      </c>
    </row>
    <row r="4603" spans="12:12" x14ac:dyDescent="0.2">
      <c r="L4603" t="str">
        <f t="shared" si="72"/>
        <v/>
      </c>
    </row>
    <row r="4604" spans="12:12" x14ac:dyDescent="0.2">
      <c r="L4604" t="str">
        <f t="shared" si="72"/>
        <v/>
      </c>
    </row>
    <row r="4605" spans="12:12" x14ac:dyDescent="0.2">
      <c r="L4605" t="str">
        <f t="shared" si="72"/>
        <v/>
      </c>
    </row>
    <row r="4606" spans="12:12" x14ac:dyDescent="0.2">
      <c r="L4606" t="str">
        <f t="shared" si="72"/>
        <v/>
      </c>
    </row>
    <row r="4607" spans="12:12" x14ac:dyDescent="0.2">
      <c r="L4607" t="str">
        <f t="shared" si="72"/>
        <v/>
      </c>
    </row>
    <row r="4608" spans="12:12" x14ac:dyDescent="0.2">
      <c r="L4608" t="str">
        <f t="shared" si="72"/>
        <v/>
      </c>
    </row>
    <row r="4609" spans="12:12" x14ac:dyDescent="0.2">
      <c r="L4609" t="str">
        <f t="shared" si="72"/>
        <v/>
      </c>
    </row>
    <row r="4610" spans="12:12" x14ac:dyDescent="0.2">
      <c r="L4610" t="str">
        <f t="shared" si="72"/>
        <v/>
      </c>
    </row>
    <row r="4611" spans="12:12" x14ac:dyDescent="0.2">
      <c r="L4611" t="str">
        <f t="shared" si="72"/>
        <v/>
      </c>
    </row>
    <row r="4612" spans="12:12" x14ac:dyDescent="0.2">
      <c r="L4612" t="str">
        <f t="shared" ref="L4612:L4675" si="73">IF(L4611&lt;$I$15,L4611+$I$16,"")</f>
        <v/>
      </c>
    </row>
    <row r="4613" spans="12:12" x14ac:dyDescent="0.2">
      <c r="L4613" t="str">
        <f t="shared" si="73"/>
        <v/>
      </c>
    </row>
    <row r="4614" spans="12:12" x14ac:dyDescent="0.2">
      <c r="L4614" t="str">
        <f t="shared" si="73"/>
        <v/>
      </c>
    </row>
    <row r="4615" spans="12:12" x14ac:dyDescent="0.2">
      <c r="L4615" t="str">
        <f t="shared" si="73"/>
        <v/>
      </c>
    </row>
    <row r="4616" spans="12:12" x14ac:dyDescent="0.2">
      <c r="L4616" t="str">
        <f t="shared" si="73"/>
        <v/>
      </c>
    </row>
    <row r="4617" spans="12:12" x14ac:dyDescent="0.2">
      <c r="L4617" t="str">
        <f t="shared" si="73"/>
        <v/>
      </c>
    </row>
    <row r="4618" spans="12:12" x14ac:dyDescent="0.2">
      <c r="L4618" t="str">
        <f t="shared" si="73"/>
        <v/>
      </c>
    </row>
    <row r="4619" spans="12:12" x14ac:dyDescent="0.2">
      <c r="L4619" t="str">
        <f t="shared" si="73"/>
        <v/>
      </c>
    </row>
    <row r="4620" spans="12:12" x14ac:dyDescent="0.2">
      <c r="L4620" t="str">
        <f t="shared" si="73"/>
        <v/>
      </c>
    </row>
    <row r="4621" spans="12:12" x14ac:dyDescent="0.2">
      <c r="L4621" t="str">
        <f t="shared" si="73"/>
        <v/>
      </c>
    </row>
    <row r="4622" spans="12:12" x14ac:dyDescent="0.2">
      <c r="L4622" t="str">
        <f t="shared" si="73"/>
        <v/>
      </c>
    </row>
    <row r="4623" spans="12:12" x14ac:dyDescent="0.2">
      <c r="L4623" t="str">
        <f t="shared" si="73"/>
        <v/>
      </c>
    </row>
    <row r="4624" spans="12:12" x14ac:dyDescent="0.2">
      <c r="L4624" t="str">
        <f t="shared" si="73"/>
        <v/>
      </c>
    </row>
    <row r="4625" spans="12:12" x14ac:dyDescent="0.2">
      <c r="L4625" t="str">
        <f t="shared" si="73"/>
        <v/>
      </c>
    </row>
    <row r="4626" spans="12:12" x14ac:dyDescent="0.2">
      <c r="L4626" t="str">
        <f t="shared" si="73"/>
        <v/>
      </c>
    </row>
    <row r="4627" spans="12:12" x14ac:dyDescent="0.2">
      <c r="L4627" t="str">
        <f t="shared" si="73"/>
        <v/>
      </c>
    </row>
    <row r="4628" spans="12:12" x14ac:dyDescent="0.2">
      <c r="L4628" t="str">
        <f t="shared" si="73"/>
        <v/>
      </c>
    </row>
    <row r="4629" spans="12:12" x14ac:dyDescent="0.2">
      <c r="L4629" t="str">
        <f t="shared" si="73"/>
        <v/>
      </c>
    </row>
    <row r="4630" spans="12:12" x14ac:dyDescent="0.2">
      <c r="L4630" t="str">
        <f t="shared" si="73"/>
        <v/>
      </c>
    </row>
    <row r="4631" spans="12:12" x14ac:dyDescent="0.2">
      <c r="L4631" t="str">
        <f t="shared" si="73"/>
        <v/>
      </c>
    </row>
    <row r="4632" spans="12:12" x14ac:dyDescent="0.2">
      <c r="L4632" t="str">
        <f t="shared" si="73"/>
        <v/>
      </c>
    </row>
    <row r="4633" spans="12:12" x14ac:dyDescent="0.2">
      <c r="L4633" t="str">
        <f t="shared" si="73"/>
        <v/>
      </c>
    </row>
    <row r="4634" spans="12:12" x14ac:dyDescent="0.2">
      <c r="L4634" t="str">
        <f t="shared" si="73"/>
        <v/>
      </c>
    </row>
    <row r="4635" spans="12:12" x14ac:dyDescent="0.2">
      <c r="L4635" t="str">
        <f t="shared" si="73"/>
        <v/>
      </c>
    </row>
    <row r="4636" spans="12:12" x14ac:dyDescent="0.2">
      <c r="L4636" t="str">
        <f t="shared" si="73"/>
        <v/>
      </c>
    </row>
    <row r="4637" spans="12:12" x14ac:dyDescent="0.2">
      <c r="L4637" t="str">
        <f t="shared" si="73"/>
        <v/>
      </c>
    </row>
    <row r="4638" spans="12:12" x14ac:dyDescent="0.2">
      <c r="L4638" t="str">
        <f t="shared" si="73"/>
        <v/>
      </c>
    </row>
    <row r="4639" spans="12:12" x14ac:dyDescent="0.2">
      <c r="L4639" t="str">
        <f t="shared" si="73"/>
        <v/>
      </c>
    </row>
    <row r="4640" spans="12:12" x14ac:dyDescent="0.2">
      <c r="L4640" t="str">
        <f t="shared" si="73"/>
        <v/>
      </c>
    </row>
    <row r="4641" spans="12:12" x14ac:dyDescent="0.2">
      <c r="L4641" t="str">
        <f t="shared" si="73"/>
        <v/>
      </c>
    </row>
    <row r="4642" spans="12:12" x14ac:dyDescent="0.2">
      <c r="L4642" t="str">
        <f t="shared" si="73"/>
        <v/>
      </c>
    </row>
    <row r="4643" spans="12:12" x14ac:dyDescent="0.2">
      <c r="L4643" t="str">
        <f t="shared" si="73"/>
        <v/>
      </c>
    </row>
    <row r="4644" spans="12:12" x14ac:dyDescent="0.2">
      <c r="L4644" t="str">
        <f t="shared" si="73"/>
        <v/>
      </c>
    </row>
    <row r="4645" spans="12:12" x14ac:dyDescent="0.2">
      <c r="L4645" t="str">
        <f t="shared" si="73"/>
        <v/>
      </c>
    </row>
    <row r="4646" spans="12:12" x14ac:dyDescent="0.2">
      <c r="L4646" t="str">
        <f t="shared" si="73"/>
        <v/>
      </c>
    </row>
    <row r="4647" spans="12:12" x14ac:dyDescent="0.2">
      <c r="L4647" t="str">
        <f t="shared" si="73"/>
        <v/>
      </c>
    </row>
    <row r="4648" spans="12:12" x14ac:dyDescent="0.2">
      <c r="L4648" t="str">
        <f t="shared" si="73"/>
        <v/>
      </c>
    </row>
    <row r="4649" spans="12:12" x14ac:dyDescent="0.2">
      <c r="L4649" t="str">
        <f t="shared" si="73"/>
        <v/>
      </c>
    </row>
    <row r="4650" spans="12:12" x14ac:dyDescent="0.2">
      <c r="L4650" t="str">
        <f t="shared" si="73"/>
        <v/>
      </c>
    </row>
    <row r="4651" spans="12:12" x14ac:dyDescent="0.2">
      <c r="L4651" t="str">
        <f t="shared" si="73"/>
        <v/>
      </c>
    </row>
    <row r="4652" spans="12:12" x14ac:dyDescent="0.2">
      <c r="L4652" t="str">
        <f t="shared" si="73"/>
        <v/>
      </c>
    </row>
    <row r="4653" spans="12:12" x14ac:dyDescent="0.2">
      <c r="L4653" t="str">
        <f t="shared" si="73"/>
        <v/>
      </c>
    </row>
    <row r="4654" spans="12:12" x14ac:dyDescent="0.2">
      <c r="L4654" t="str">
        <f t="shared" si="73"/>
        <v/>
      </c>
    </row>
    <row r="4655" spans="12:12" x14ac:dyDescent="0.2">
      <c r="L4655" t="str">
        <f t="shared" si="73"/>
        <v/>
      </c>
    </row>
    <row r="4656" spans="12:12" x14ac:dyDescent="0.2">
      <c r="L4656" t="str">
        <f t="shared" si="73"/>
        <v/>
      </c>
    </row>
    <row r="4657" spans="12:12" x14ac:dyDescent="0.2">
      <c r="L4657" t="str">
        <f t="shared" si="73"/>
        <v/>
      </c>
    </row>
    <row r="4658" spans="12:12" x14ac:dyDescent="0.2">
      <c r="L4658" t="str">
        <f t="shared" si="73"/>
        <v/>
      </c>
    </row>
    <row r="4659" spans="12:12" x14ac:dyDescent="0.2">
      <c r="L4659" t="str">
        <f t="shared" si="73"/>
        <v/>
      </c>
    </row>
    <row r="4660" spans="12:12" x14ac:dyDescent="0.2">
      <c r="L4660" t="str">
        <f t="shared" si="73"/>
        <v/>
      </c>
    </row>
    <row r="4661" spans="12:12" x14ac:dyDescent="0.2">
      <c r="L4661" t="str">
        <f t="shared" si="73"/>
        <v/>
      </c>
    </row>
    <row r="4662" spans="12:12" x14ac:dyDescent="0.2">
      <c r="L4662" t="str">
        <f t="shared" si="73"/>
        <v/>
      </c>
    </row>
    <row r="4663" spans="12:12" x14ac:dyDescent="0.2">
      <c r="L4663" t="str">
        <f t="shared" si="73"/>
        <v/>
      </c>
    </row>
    <row r="4664" spans="12:12" x14ac:dyDescent="0.2">
      <c r="L4664" t="str">
        <f t="shared" si="73"/>
        <v/>
      </c>
    </row>
    <row r="4665" spans="12:12" x14ac:dyDescent="0.2">
      <c r="L4665" t="str">
        <f t="shared" si="73"/>
        <v/>
      </c>
    </row>
    <row r="4666" spans="12:12" x14ac:dyDescent="0.2">
      <c r="L4666" t="str">
        <f t="shared" si="73"/>
        <v/>
      </c>
    </row>
    <row r="4667" spans="12:12" x14ac:dyDescent="0.2">
      <c r="L4667" t="str">
        <f t="shared" si="73"/>
        <v/>
      </c>
    </row>
    <row r="4668" spans="12:12" x14ac:dyDescent="0.2">
      <c r="L4668" t="str">
        <f t="shared" si="73"/>
        <v/>
      </c>
    </row>
    <row r="4669" spans="12:12" x14ac:dyDescent="0.2">
      <c r="L4669" t="str">
        <f t="shared" si="73"/>
        <v/>
      </c>
    </row>
    <row r="4670" spans="12:12" x14ac:dyDescent="0.2">
      <c r="L4670" t="str">
        <f t="shared" si="73"/>
        <v/>
      </c>
    </row>
    <row r="4671" spans="12:12" x14ac:dyDescent="0.2">
      <c r="L4671" t="str">
        <f t="shared" si="73"/>
        <v/>
      </c>
    </row>
    <row r="4672" spans="12:12" x14ac:dyDescent="0.2">
      <c r="L4672" t="str">
        <f t="shared" si="73"/>
        <v/>
      </c>
    </row>
    <row r="4673" spans="12:12" x14ac:dyDescent="0.2">
      <c r="L4673" t="str">
        <f t="shared" si="73"/>
        <v/>
      </c>
    </row>
    <row r="4674" spans="12:12" x14ac:dyDescent="0.2">
      <c r="L4674" t="str">
        <f t="shared" si="73"/>
        <v/>
      </c>
    </row>
    <row r="4675" spans="12:12" x14ac:dyDescent="0.2">
      <c r="L4675" t="str">
        <f t="shared" si="73"/>
        <v/>
      </c>
    </row>
    <row r="4676" spans="12:12" x14ac:dyDescent="0.2">
      <c r="L4676" t="str">
        <f t="shared" ref="L4676:L4739" si="74">IF(L4675&lt;$I$15,L4675+$I$16,"")</f>
        <v/>
      </c>
    </row>
    <row r="4677" spans="12:12" x14ac:dyDescent="0.2">
      <c r="L4677" t="str">
        <f t="shared" si="74"/>
        <v/>
      </c>
    </row>
    <row r="4678" spans="12:12" x14ac:dyDescent="0.2">
      <c r="L4678" t="str">
        <f t="shared" si="74"/>
        <v/>
      </c>
    </row>
    <row r="4679" spans="12:12" x14ac:dyDescent="0.2">
      <c r="L4679" t="str">
        <f t="shared" si="74"/>
        <v/>
      </c>
    </row>
    <row r="4680" spans="12:12" x14ac:dyDescent="0.2">
      <c r="L4680" t="str">
        <f t="shared" si="74"/>
        <v/>
      </c>
    </row>
    <row r="4681" spans="12:12" x14ac:dyDescent="0.2">
      <c r="L4681" t="str">
        <f t="shared" si="74"/>
        <v/>
      </c>
    </row>
    <row r="4682" spans="12:12" x14ac:dyDescent="0.2">
      <c r="L4682" t="str">
        <f t="shared" si="74"/>
        <v/>
      </c>
    </row>
    <row r="4683" spans="12:12" x14ac:dyDescent="0.2">
      <c r="L4683" t="str">
        <f t="shared" si="74"/>
        <v/>
      </c>
    </row>
    <row r="4684" spans="12:12" x14ac:dyDescent="0.2">
      <c r="L4684" t="str">
        <f t="shared" si="74"/>
        <v/>
      </c>
    </row>
    <row r="4685" spans="12:12" x14ac:dyDescent="0.2">
      <c r="L4685" t="str">
        <f t="shared" si="74"/>
        <v/>
      </c>
    </row>
    <row r="4686" spans="12:12" x14ac:dyDescent="0.2">
      <c r="L4686" t="str">
        <f t="shared" si="74"/>
        <v/>
      </c>
    </row>
    <row r="4687" spans="12:12" x14ac:dyDescent="0.2">
      <c r="L4687" t="str">
        <f t="shared" si="74"/>
        <v/>
      </c>
    </row>
    <row r="4688" spans="12:12" x14ac:dyDescent="0.2">
      <c r="L4688" t="str">
        <f t="shared" si="74"/>
        <v/>
      </c>
    </row>
    <row r="4689" spans="12:12" x14ac:dyDescent="0.2">
      <c r="L4689" t="str">
        <f t="shared" si="74"/>
        <v/>
      </c>
    </row>
    <row r="4690" spans="12:12" x14ac:dyDescent="0.2">
      <c r="L4690" t="str">
        <f t="shared" si="74"/>
        <v/>
      </c>
    </row>
    <row r="4691" spans="12:12" x14ac:dyDescent="0.2">
      <c r="L4691" t="str">
        <f t="shared" si="74"/>
        <v/>
      </c>
    </row>
    <row r="4692" spans="12:12" x14ac:dyDescent="0.2">
      <c r="L4692" t="str">
        <f t="shared" si="74"/>
        <v/>
      </c>
    </row>
    <row r="4693" spans="12:12" x14ac:dyDescent="0.2">
      <c r="L4693" t="str">
        <f t="shared" si="74"/>
        <v/>
      </c>
    </row>
    <row r="4694" spans="12:12" x14ac:dyDescent="0.2">
      <c r="L4694" t="str">
        <f t="shared" si="74"/>
        <v/>
      </c>
    </row>
    <row r="4695" spans="12:12" x14ac:dyDescent="0.2">
      <c r="L4695" t="str">
        <f t="shared" si="74"/>
        <v/>
      </c>
    </row>
    <row r="4696" spans="12:12" x14ac:dyDescent="0.2">
      <c r="L4696" t="str">
        <f t="shared" si="74"/>
        <v/>
      </c>
    </row>
    <row r="4697" spans="12:12" x14ac:dyDescent="0.2">
      <c r="L4697" t="str">
        <f t="shared" si="74"/>
        <v/>
      </c>
    </row>
    <row r="4698" spans="12:12" x14ac:dyDescent="0.2">
      <c r="L4698" t="str">
        <f t="shared" si="74"/>
        <v/>
      </c>
    </row>
    <row r="4699" spans="12:12" x14ac:dyDescent="0.2">
      <c r="L4699" t="str">
        <f t="shared" si="74"/>
        <v/>
      </c>
    </row>
    <row r="4700" spans="12:12" x14ac:dyDescent="0.2">
      <c r="L4700" t="str">
        <f t="shared" si="74"/>
        <v/>
      </c>
    </row>
    <row r="4701" spans="12:12" x14ac:dyDescent="0.2">
      <c r="L4701" t="str">
        <f t="shared" si="74"/>
        <v/>
      </c>
    </row>
    <row r="4702" spans="12:12" x14ac:dyDescent="0.2">
      <c r="L4702" t="str">
        <f t="shared" si="74"/>
        <v/>
      </c>
    </row>
    <row r="4703" spans="12:12" x14ac:dyDescent="0.2">
      <c r="L4703" t="str">
        <f t="shared" si="74"/>
        <v/>
      </c>
    </row>
    <row r="4704" spans="12:12" x14ac:dyDescent="0.2">
      <c r="L4704" t="str">
        <f t="shared" si="74"/>
        <v/>
      </c>
    </row>
    <row r="4705" spans="12:12" x14ac:dyDescent="0.2">
      <c r="L4705" t="str">
        <f t="shared" si="74"/>
        <v/>
      </c>
    </row>
    <row r="4706" spans="12:12" x14ac:dyDescent="0.2">
      <c r="L4706" t="str">
        <f t="shared" si="74"/>
        <v/>
      </c>
    </row>
    <row r="4707" spans="12:12" x14ac:dyDescent="0.2">
      <c r="L4707" t="str">
        <f t="shared" si="74"/>
        <v/>
      </c>
    </row>
    <row r="4708" spans="12:12" x14ac:dyDescent="0.2">
      <c r="L4708" t="str">
        <f t="shared" si="74"/>
        <v/>
      </c>
    </row>
    <row r="4709" spans="12:12" x14ac:dyDescent="0.2">
      <c r="L4709" t="str">
        <f t="shared" si="74"/>
        <v/>
      </c>
    </row>
    <row r="4710" spans="12:12" x14ac:dyDescent="0.2">
      <c r="L4710" t="str">
        <f t="shared" si="74"/>
        <v/>
      </c>
    </row>
    <row r="4711" spans="12:12" x14ac:dyDescent="0.2">
      <c r="L4711" t="str">
        <f t="shared" si="74"/>
        <v/>
      </c>
    </row>
    <row r="4712" spans="12:12" x14ac:dyDescent="0.2">
      <c r="L4712" t="str">
        <f t="shared" si="74"/>
        <v/>
      </c>
    </row>
    <row r="4713" spans="12:12" x14ac:dyDescent="0.2">
      <c r="L4713" t="str">
        <f t="shared" si="74"/>
        <v/>
      </c>
    </row>
    <row r="4714" spans="12:12" x14ac:dyDescent="0.2">
      <c r="L4714" t="str">
        <f t="shared" si="74"/>
        <v/>
      </c>
    </row>
    <row r="4715" spans="12:12" x14ac:dyDescent="0.2">
      <c r="L4715" t="str">
        <f t="shared" si="74"/>
        <v/>
      </c>
    </row>
    <row r="4716" spans="12:12" x14ac:dyDescent="0.2">
      <c r="L4716" t="str">
        <f t="shared" si="74"/>
        <v/>
      </c>
    </row>
    <row r="4717" spans="12:12" x14ac:dyDescent="0.2">
      <c r="L4717" t="str">
        <f t="shared" si="74"/>
        <v/>
      </c>
    </row>
    <row r="4718" spans="12:12" x14ac:dyDescent="0.2">
      <c r="L4718" t="str">
        <f t="shared" si="74"/>
        <v/>
      </c>
    </row>
    <row r="4719" spans="12:12" x14ac:dyDescent="0.2">
      <c r="L4719" t="str">
        <f t="shared" si="74"/>
        <v/>
      </c>
    </row>
    <row r="4720" spans="12:12" x14ac:dyDescent="0.2">
      <c r="L4720" t="str">
        <f t="shared" si="74"/>
        <v/>
      </c>
    </row>
    <row r="4721" spans="12:12" x14ac:dyDescent="0.2">
      <c r="L4721" t="str">
        <f t="shared" si="74"/>
        <v/>
      </c>
    </row>
    <row r="4722" spans="12:12" x14ac:dyDescent="0.2">
      <c r="L4722" t="str">
        <f t="shared" si="74"/>
        <v/>
      </c>
    </row>
    <row r="4723" spans="12:12" x14ac:dyDescent="0.2">
      <c r="L4723" t="str">
        <f t="shared" si="74"/>
        <v/>
      </c>
    </row>
    <row r="4724" spans="12:12" x14ac:dyDescent="0.2">
      <c r="L4724" t="str">
        <f t="shared" si="74"/>
        <v/>
      </c>
    </row>
    <row r="4725" spans="12:12" x14ac:dyDescent="0.2">
      <c r="L4725" t="str">
        <f t="shared" si="74"/>
        <v/>
      </c>
    </row>
    <row r="4726" spans="12:12" x14ac:dyDescent="0.2">
      <c r="L4726" t="str">
        <f t="shared" si="74"/>
        <v/>
      </c>
    </row>
    <row r="4727" spans="12:12" x14ac:dyDescent="0.2">
      <c r="L4727" t="str">
        <f t="shared" si="74"/>
        <v/>
      </c>
    </row>
    <row r="4728" spans="12:12" x14ac:dyDescent="0.2">
      <c r="L4728" t="str">
        <f t="shared" si="74"/>
        <v/>
      </c>
    </row>
    <row r="4729" spans="12:12" x14ac:dyDescent="0.2">
      <c r="L4729" t="str">
        <f t="shared" si="74"/>
        <v/>
      </c>
    </row>
    <row r="4730" spans="12:12" x14ac:dyDescent="0.2">
      <c r="L4730" t="str">
        <f t="shared" si="74"/>
        <v/>
      </c>
    </row>
    <row r="4731" spans="12:12" x14ac:dyDescent="0.2">
      <c r="L4731" t="str">
        <f t="shared" si="74"/>
        <v/>
      </c>
    </row>
    <row r="4732" spans="12:12" x14ac:dyDescent="0.2">
      <c r="L4732" t="str">
        <f t="shared" si="74"/>
        <v/>
      </c>
    </row>
    <row r="4733" spans="12:12" x14ac:dyDescent="0.2">
      <c r="L4733" t="str">
        <f t="shared" si="74"/>
        <v/>
      </c>
    </row>
    <row r="4734" spans="12:12" x14ac:dyDescent="0.2">
      <c r="L4734" t="str">
        <f t="shared" si="74"/>
        <v/>
      </c>
    </row>
    <row r="4735" spans="12:12" x14ac:dyDescent="0.2">
      <c r="L4735" t="str">
        <f t="shared" si="74"/>
        <v/>
      </c>
    </row>
    <row r="4736" spans="12:12" x14ac:dyDescent="0.2">
      <c r="L4736" t="str">
        <f t="shared" si="74"/>
        <v/>
      </c>
    </row>
    <row r="4737" spans="12:12" x14ac:dyDescent="0.2">
      <c r="L4737" t="str">
        <f t="shared" si="74"/>
        <v/>
      </c>
    </row>
    <row r="4738" spans="12:12" x14ac:dyDescent="0.2">
      <c r="L4738" t="str">
        <f t="shared" si="74"/>
        <v/>
      </c>
    </row>
    <row r="4739" spans="12:12" x14ac:dyDescent="0.2">
      <c r="L4739" t="str">
        <f t="shared" si="74"/>
        <v/>
      </c>
    </row>
    <row r="4740" spans="12:12" x14ac:dyDescent="0.2">
      <c r="L4740" t="str">
        <f t="shared" ref="L4740:L4803" si="75">IF(L4739&lt;$I$15,L4739+$I$16,"")</f>
        <v/>
      </c>
    </row>
    <row r="4741" spans="12:12" x14ac:dyDescent="0.2">
      <c r="L4741" t="str">
        <f t="shared" si="75"/>
        <v/>
      </c>
    </row>
    <row r="4742" spans="12:12" x14ac:dyDescent="0.2">
      <c r="L4742" t="str">
        <f t="shared" si="75"/>
        <v/>
      </c>
    </row>
    <row r="4743" spans="12:12" x14ac:dyDescent="0.2">
      <c r="L4743" t="str">
        <f t="shared" si="75"/>
        <v/>
      </c>
    </row>
    <row r="4744" spans="12:12" x14ac:dyDescent="0.2">
      <c r="L4744" t="str">
        <f t="shared" si="75"/>
        <v/>
      </c>
    </row>
    <row r="4745" spans="12:12" x14ac:dyDescent="0.2">
      <c r="L4745" t="str">
        <f t="shared" si="75"/>
        <v/>
      </c>
    </row>
    <row r="4746" spans="12:12" x14ac:dyDescent="0.2">
      <c r="L4746" t="str">
        <f t="shared" si="75"/>
        <v/>
      </c>
    </row>
    <row r="4747" spans="12:12" x14ac:dyDescent="0.2">
      <c r="L4747" t="str">
        <f t="shared" si="75"/>
        <v/>
      </c>
    </row>
    <row r="4748" spans="12:12" x14ac:dyDescent="0.2">
      <c r="L4748" t="str">
        <f t="shared" si="75"/>
        <v/>
      </c>
    </row>
    <row r="4749" spans="12:12" x14ac:dyDescent="0.2">
      <c r="L4749" t="str">
        <f t="shared" si="75"/>
        <v/>
      </c>
    </row>
    <row r="4750" spans="12:12" x14ac:dyDescent="0.2">
      <c r="L4750" t="str">
        <f t="shared" si="75"/>
        <v/>
      </c>
    </row>
    <row r="4751" spans="12:12" x14ac:dyDescent="0.2">
      <c r="L4751" t="str">
        <f t="shared" si="75"/>
        <v/>
      </c>
    </row>
    <row r="4752" spans="12:12" x14ac:dyDescent="0.2">
      <c r="L4752" t="str">
        <f t="shared" si="75"/>
        <v/>
      </c>
    </row>
    <row r="4753" spans="12:12" x14ac:dyDescent="0.2">
      <c r="L4753" t="str">
        <f t="shared" si="75"/>
        <v/>
      </c>
    </row>
    <row r="4754" spans="12:12" x14ac:dyDescent="0.2">
      <c r="L4754" t="str">
        <f t="shared" si="75"/>
        <v/>
      </c>
    </row>
    <row r="4755" spans="12:12" x14ac:dyDescent="0.2">
      <c r="L4755" t="str">
        <f t="shared" si="75"/>
        <v/>
      </c>
    </row>
    <row r="4756" spans="12:12" x14ac:dyDescent="0.2">
      <c r="L4756" t="str">
        <f t="shared" si="75"/>
        <v/>
      </c>
    </row>
    <row r="4757" spans="12:12" x14ac:dyDescent="0.2">
      <c r="L4757" t="str">
        <f t="shared" si="75"/>
        <v/>
      </c>
    </row>
    <row r="4758" spans="12:12" x14ac:dyDescent="0.2">
      <c r="L4758" t="str">
        <f t="shared" si="75"/>
        <v/>
      </c>
    </row>
    <row r="4759" spans="12:12" x14ac:dyDescent="0.2">
      <c r="L4759" t="str">
        <f t="shared" si="75"/>
        <v/>
      </c>
    </row>
    <row r="4760" spans="12:12" x14ac:dyDescent="0.2">
      <c r="L4760" t="str">
        <f t="shared" si="75"/>
        <v/>
      </c>
    </row>
    <row r="4761" spans="12:12" x14ac:dyDescent="0.2">
      <c r="L4761" t="str">
        <f t="shared" si="75"/>
        <v/>
      </c>
    </row>
    <row r="4762" spans="12:12" x14ac:dyDescent="0.2">
      <c r="L4762" t="str">
        <f t="shared" si="75"/>
        <v/>
      </c>
    </row>
    <row r="4763" spans="12:12" x14ac:dyDescent="0.2">
      <c r="L4763" t="str">
        <f t="shared" si="75"/>
        <v/>
      </c>
    </row>
    <row r="4764" spans="12:12" x14ac:dyDescent="0.2">
      <c r="L4764" t="str">
        <f t="shared" si="75"/>
        <v/>
      </c>
    </row>
    <row r="4765" spans="12:12" x14ac:dyDescent="0.2">
      <c r="L4765" t="str">
        <f t="shared" si="75"/>
        <v/>
      </c>
    </row>
    <row r="4766" spans="12:12" x14ac:dyDescent="0.2">
      <c r="L4766" t="str">
        <f t="shared" si="75"/>
        <v/>
      </c>
    </row>
    <row r="4767" spans="12:12" x14ac:dyDescent="0.2">
      <c r="L4767" t="str">
        <f t="shared" si="75"/>
        <v/>
      </c>
    </row>
    <row r="4768" spans="12:12" x14ac:dyDescent="0.2">
      <c r="L4768" t="str">
        <f t="shared" si="75"/>
        <v/>
      </c>
    </row>
    <row r="4769" spans="12:12" x14ac:dyDescent="0.2">
      <c r="L4769" t="str">
        <f t="shared" si="75"/>
        <v/>
      </c>
    </row>
    <row r="4770" spans="12:12" x14ac:dyDescent="0.2">
      <c r="L4770" t="str">
        <f t="shared" si="75"/>
        <v/>
      </c>
    </row>
    <row r="4771" spans="12:12" x14ac:dyDescent="0.2">
      <c r="L4771" t="str">
        <f t="shared" si="75"/>
        <v/>
      </c>
    </row>
    <row r="4772" spans="12:12" x14ac:dyDescent="0.2">
      <c r="L4772" t="str">
        <f t="shared" si="75"/>
        <v/>
      </c>
    </row>
    <row r="4773" spans="12:12" x14ac:dyDescent="0.2">
      <c r="L4773" t="str">
        <f t="shared" si="75"/>
        <v/>
      </c>
    </row>
    <row r="4774" spans="12:12" x14ac:dyDescent="0.2">
      <c r="L4774" t="str">
        <f t="shared" si="75"/>
        <v/>
      </c>
    </row>
    <row r="4775" spans="12:12" x14ac:dyDescent="0.2">
      <c r="L4775" t="str">
        <f t="shared" si="75"/>
        <v/>
      </c>
    </row>
    <row r="4776" spans="12:12" x14ac:dyDescent="0.2">
      <c r="L4776" t="str">
        <f t="shared" si="75"/>
        <v/>
      </c>
    </row>
    <row r="4777" spans="12:12" x14ac:dyDescent="0.2">
      <c r="L4777" t="str">
        <f t="shared" si="75"/>
        <v/>
      </c>
    </row>
    <row r="4778" spans="12:12" x14ac:dyDescent="0.2">
      <c r="L4778" t="str">
        <f t="shared" si="75"/>
        <v/>
      </c>
    </row>
    <row r="4779" spans="12:12" x14ac:dyDescent="0.2">
      <c r="L4779" t="str">
        <f t="shared" si="75"/>
        <v/>
      </c>
    </row>
    <row r="4780" spans="12:12" x14ac:dyDescent="0.2">
      <c r="L4780" t="str">
        <f t="shared" si="75"/>
        <v/>
      </c>
    </row>
    <row r="4781" spans="12:12" x14ac:dyDescent="0.2">
      <c r="L4781" t="str">
        <f t="shared" si="75"/>
        <v/>
      </c>
    </row>
    <row r="4782" spans="12:12" x14ac:dyDescent="0.2">
      <c r="L4782" t="str">
        <f t="shared" si="75"/>
        <v/>
      </c>
    </row>
    <row r="4783" spans="12:12" x14ac:dyDescent="0.2">
      <c r="L4783" t="str">
        <f t="shared" si="75"/>
        <v/>
      </c>
    </row>
    <row r="4784" spans="12:12" x14ac:dyDescent="0.2">
      <c r="L4784" t="str">
        <f t="shared" si="75"/>
        <v/>
      </c>
    </row>
    <row r="4785" spans="12:12" x14ac:dyDescent="0.2">
      <c r="L4785" t="str">
        <f t="shared" si="75"/>
        <v/>
      </c>
    </row>
    <row r="4786" spans="12:12" x14ac:dyDescent="0.2">
      <c r="L4786" t="str">
        <f t="shared" si="75"/>
        <v/>
      </c>
    </row>
    <row r="4787" spans="12:12" x14ac:dyDescent="0.2">
      <c r="L4787" t="str">
        <f t="shared" si="75"/>
        <v/>
      </c>
    </row>
    <row r="4788" spans="12:12" x14ac:dyDescent="0.2">
      <c r="L4788" t="str">
        <f t="shared" si="75"/>
        <v/>
      </c>
    </row>
    <row r="4789" spans="12:12" x14ac:dyDescent="0.2">
      <c r="L4789" t="str">
        <f t="shared" si="75"/>
        <v/>
      </c>
    </row>
    <row r="4790" spans="12:12" x14ac:dyDescent="0.2">
      <c r="L4790" t="str">
        <f t="shared" si="75"/>
        <v/>
      </c>
    </row>
    <row r="4791" spans="12:12" x14ac:dyDescent="0.2">
      <c r="L4791" t="str">
        <f t="shared" si="75"/>
        <v/>
      </c>
    </row>
    <row r="4792" spans="12:12" x14ac:dyDescent="0.2">
      <c r="L4792" t="str">
        <f t="shared" si="75"/>
        <v/>
      </c>
    </row>
    <row r="4793" spans="12:12" x14ac:dyDescent="0.2">
      <c r="L4793" t="str">
        <f t="shared" si="75"/>
        <v/>
      </c>
    </row>
    <row r="4794" spans="12:12" x14ac:dyDescent="0.2">
      <c r="L4794" t="str">
        <f t="shared" si="75"/>
        <v/>
      </c>
    </row>
    <row r="4795" spans="12:12" x14ac:dyDescent="0.2">
      <c r="L4795" t="str">
        <f t="shared" si="75"/>
        <v/>
      </c>
    </row>
    <row r="4796" spans="12:12" x14ac:dyDescent="0.2">
      <c r="L4796" t="str">
        <f t="shared" si="75"/>
        <v/>
      </c>
    </row>
    <row r="4797" spans="12:12" x14ac:dyDescent="0.2">
      <c r="L4797" t="str">
        <f t="shared" si="75"/>
        <v/>
      </c>
    </row>
    <row r="4798" spans="12:12" x14ac:dyDescent="0.2">
      <c r="L4798" t="str">
        <f t="shared" si="75"/>
        <v/>
      </c>
    </row>
    <row r="4799" spans="12:12" x14ac:dyDescent="0.2">
      <c r="L4799" t="str">
        <f t="shared" si="75"/>
        <v/>
      </c>
    </row>
    <row r="4800" spans="12:12" x14ac:dyDescent="0.2">
      <c r="L4800" t="str">
        <f t="shared" si="75"/>
        <v/>
      </c>
    </row>
    <row r="4801" spans="12:12" x14ac:dyDescent="0.2">
      <c r="L4801" t="str">
        <f t="shared" si="75"/>
        <v/>
      </c>
    </row>
    <row r="4802" spans="12:12" x14ac:dyDescent="0.2">
      <c r="L4802" t="str">
        <f t="shared" si="75"/>
        <v/>
      </c>
    </row>
    <row r="4803" spans="12:12" x14ac:dyDescent="0.2">
      <c r="L4803" t="str">
        <f t="shared" si="75"/>
        <v/>
      </c>
    </row>
    <row r="4804" spans="12:12" x14ac:dyDescent="0.2">
      <c r="L4804" t="str">
        <f t="shared" ref="L4804:L4867" si="76">IF(L4803&lt;$I$15,L4803+$I$16,"")</f>
        <v/>
      </c>
    </row>
    <row r="4805" spans="12:12" x14ac:dyDescent="0.2">
      <c r="L4805" t="str">
        <f t="shared" si="76"/>
        <v/>
      </c>
    </row>
    <row r="4806" spans="12:12" x14ac:dyDescent="0.2">
      <c r="L4806" t="str">
        <f t="shared" si="76"/>
        <v/>
      </c>
    </row>
    <row r="4807" spans="12:12" x14ac:dyDescent="0.2">
      <c r="L4807" t="str">
        <f t="shared" si="76"/>
        <v/>
      </c>
    </row>
    <row r="4808" spans="12:12" x14ac:dyDescent="0.2">
      <c r="L4808" t="str">
        <f t="shared" si="76"/>
        <v/>
      </c>
    </row>
    <row r="4809" spans="12:12" x14ac:dyDescent="0.2">
      <c r="L4809" t="str">
        <f t="shared" si="76"/>
        <v/>
      </c>
    </row>
    <row r="4810" spans="12:12" x14ac:dyDescent="0.2">
      <c r="L4810" t="str">
        <f t="shared" si="76"/>
        <v/>
      </c>
    </row>
    <row r="4811" spans="12:12" x14ac:dyDescent="0.2">
      <c r="L4811" t="str">
        <f t="shared" si="76"/>
        <v/>
      </c>
    </row>
    <row r="4812" spans="12:12" x14ac:dyDescent="0.2">
      <c r="L4812" t="str">
        <f t="shared" si="76"/>
        <v/>
      </c>
    </row>
    <row r="4813" spans="12:12" x14ac:dyDescent="0.2">
      <c r="L4813" t="str">
        <f t="shared" si="76"/>
        <v/>
      </c>
    </row>
    <row r="4814" spans="12:12" x14ac:dyDescent="0.2">
      <c r="L4814" t="str">
        <f t="shared" si="76"/>
        <v/>
      </c>
    </row>
    <row r="4815" spans="12:12" x14ac:dyDescent="0.2">
      <c r="L4815" t="str">
        <f t="shared" si="76"/>
        <v/>
      </c>
    </row>
    <row r="4816" spans="12:12" x14ac:dyDescent="0.2">
      <c r="L4816" t="str">
        <f t="shared" si="76"/>
        <v/>
      </c>
    </row>
    <row r="4817" spans="12:12" x14ac:dyDescent="0.2">
      <c r="L4817" t="str">
        <f t="shared" si="76"/>
        <v/>
      </c>
    </row>
    <row r="4818" spans="12:12" x14ac:dyDescent="0.2">
      <c r="L4818" t="str">
        <f t="shared" si="76"/>
        <v/>
      </c>
    </row>
    <row r="4819" spans="12:12" x14ac:dyDescent="0.2">
      <c r="L4819" t="str">
        <f t="shared" si="76"/>
        <v/>
      </c>
    </row>
    <row r="4820" spans="12:12" x14ac:dyDescent="0.2">
      <c r="L4820" t="str">
        <f t="shared" si="76"/>
        <v/>
      </c>
    </row>
    <row r="4821" spans="12:12" x14ac:dyDescent="0.2">
      <c r="L4821" t="str">
        <f t="shared" si="76"/>
        <v/>
      </c>
    </row>
    <row r="4822" spans="12:12" x14ac:dyDescent="0.2">
      <c r="L4822" t="str">
        <f t="shared" si="76"/>
        <v/>
      </c>
    </row>
    <row r="4823" spans="12:12" x14ac:dyDescent="0.2">
      <c r="L4823" t="str">
        <f t="shared" si="76"/>
        <v/>
      </c>
    </row>
    <row r="4824" spans="12:12" x14ac:dyDescent="0.2">
      <c r="L4824" t="str">
        <f t="shared" si="76"/>
        <v/>
      </c>
    </row>
    <row r="4825" spans="12:12" x14ac:dyDescent="0.2">
      <c r="L4825" t="str">
        <f t="shared" si="76"/>
        <v/>
      </c>
    </row>
    <row r="4826" spans="12:12" x14ac:dyDescent="0.2">
      <c r="L4826" t="str">
        <f t="shared" si="76"/>
        <v/>
      </c>
    </row>
    <row r="4827" spans="12:12" x14ac:dyDescent="0.2">
      <c r="L4827" t="str">
        <f t="shared" si="76"/>
        <v/>
      </c>
    </row>
    <row r="4828" spans="12:12" x14ac:dyDescent="0.2">
      <c r="L4828" t="str">
        <f t="shared" si="76"/>
        <v/>
      </c>
    </row>
    <row r="4829" spans="12:12" x14ac:dyDescent="0.2">
      <c r="L4829" t="str">
        <f t="shared" si="76"/>
        <v/>
      </c>
    </row>
    <row r="4830" spans="12:12" x14ac:dyDescent="0.2">
      <c r="L4830" t="str">
        <f t="shared" si="76"/>
        <v/>
      </c>
    </row>
    <row r="4831" spans="12:12" x14ac:dyDescent="0.2">
      <c r="L4831" t="str">
        <f t="shared" si="76"/>
        <v/>
      </c>
    </row>
    <row r="4832" spans="12:12" x14ac:dyDescent="0.2">
      <c r="L4832" t="str">
        <f t="shared" si="76"/>
        <v/>
      </c>
    </row>
    <row r="4833" spans="12:12" x14ac:dyDescent="0.2">
      <c r="L4833" t="str">
        <f t="shared" si="76"/>
        <v/>
      </c>
    </row>
    <row r="4834" spans="12:12" x14ac:dyDescent="0.2">
      <c r="L4834" t="str">
        <f t="shared" si="76"/>
        <v/>
      </c>
    </row>
    <row r="4835" spans="12:12" x14ac:dyDescent="0.2">
      <c r="L4835" t="str">
        <f t="shared" si="76"/>
        <v/>
      </c>
    </row>
    <row r="4836" spans="12:12" x14ac:dyDescent="0.2">
      <c r="L4836" t="str">
        <f t="shared" si="76"/>
        <v/>
      </c>
    </row>
    <row r="4837" spans="12:12" x14ac:dyDescent="0.2">
      <c r="L4837" t="str">
        <f t="shared" si="76"/>
        <v/>
      </c>
    </row>
    <row r="4838" spans="12:12" x14ac:dyDescent="0.2">
      <c r="L4838" t="str">
        <f t="shared" si="76"/>
        <v/>
      </c>
    </row>
    <row r="4839" spans="12:12" x14ac:dyDescent="0.2">
      <c r="L4839" t="str">
        <f t="shared" si="76"/>
        <v/>
      </c>
    </row>
    <row r="4840" spans="12:12" x14ac:dyDescent="0.2">
      <c r="L4840" t="str">
        <f t="shared" si="76"/>
        <v/>
      </c>
    </row>
    <row r="4841" spans="12:12" x14ac:dyDescent="0.2">
      <c r="L4841" t="str">
        <f t="shared" si="76"/>
        <v/>
      </c>
    </row>
    <row r="4842" spans="12:12" x14ac:dyDescent="0.2">
      <c r="L4842" t="str">
        <f t="shared" si="76"/>
        <v/>
      </c>
    </row>
    <row r="4843" spans="12:12" x14ac:dyDescent="0.2">
      <c r="L4843" t="str">
        <f t="shared" si="76"/>
        <v/>
      </c>
    </row>
    <row r="4844" spans="12:12" x14ac:dyDescent="0.2">
      <c r="L4844" t="str">
        <f t="shared" si="76"/>
        <v/>
      </c>
    </row>
    <row r="4845" spans="12:12" x14ac:dyDescent="0.2">
      <c r="L4845" t="str">
        <f t="shared" si="76"/>
        <v/>
      </c>
    </row>
    <row r="4846" spans="12:12" x14ac:dyDescent="0.2">
      <c r="L4846" t="str">
        <f t="shared" si="76"/>
        <v/>
      </c>
    </row>
    <row r="4847" spans="12:12" x14ac:dyDescent="0.2">
      <c r="L4847" t="str">
        <f t="shared" si="76"/>
        <v/>
      </c>
    </row>
    <row r="4848" spans="12:12" x14ac:dyDescent="0.2">
      <c r="L4848" t="str">
        <f t="shared" si="76"/>
        <v/>
      </c>
    </row>
    <row r="4849" spans="12:12" x14ac:dyDescent="0.2">
      <c r="L4849" t="str">
        <f t="shared" si="76"/>
        <v/>
      </c>
    </row>
    <row r="4850" spans="12:12" x14ac:dyDescent="0.2">
      <c r="L4850" t="str">
        <f t="shared" si="76"/>
        <v/>
      </c>
    </row>
    <row r="4851" spans="12:12" x14ac:dyDescent="0.2">
      <c r="L4851" t="str">
        <f t="shared" si="76"/>
        <v/>
      </c>
    </row>
    <row r="4852" spans="12:12" x14ac:dyDescent="0.2">
      <c r="L4852" t="str">
        <f t="shared" si="76"/>
        <v/>
      </c>
    </row>
    <row r="4853" spans="12:12" x14ac:dyDescent="0.2">
      <c r="L4853" t="str">
        <f t="shared" si="76"/>
        <v/>
      </c>
    </row>
    <row r="4854" spans="12:12" x14ac:dyDescent="0.2">
      <c r="L4854" t="str">
        <f t="shared" si="76"/>
        <v/>
      </c>
    </row>
    <row r="4855" spans="12:12" x14ac:dyDescent="0.2">
      <c r="L4855" t="str">
        <f t="shared" si="76"/>
        <v/>
      </c>
    </row>
    <row r="4856" spans="12:12" x14ac:dyDescent="0.2">
      <c r="L4856" t="str">
        <f t="shared" si="76"/>
        <v/>
      </c>
    </row>
    <row r="4857" spans="12:12" x14ac:dyDescent="0.2">
      <c r="L4857" t="str">
        <f t="shared" si="76"/>
        <v/>
      </c>
    </row>
    <row r="4858" spans="12:12" x14ac:dyDescent="0.2">
      <c r="L4858" t="str">
        <f t="shared" si="76"/>
        <v/>
      </c>
    </row>
    <row r="4859" spans="12:12" x14ac:dyDescent="0.2">
      <c r="L4859" t="str">
        <f t="shared" si="76"/>
        <v/>
      </c>
    </row>
    <row r="4860" spans="12:12" x14ac:dyDescent="0.2">
      <c r="L4860" t="str">
        <f t="shared" si="76"/>
        <v/>
      </c>
    </row>
    <row r="4861" spans="12:12" x14ac:dyDescent="0.2">
      <c r="L4861" t="str">
        <f t="shared" si="76"/>
        <v/>
      </c>
    </row>
    <row r="4862" spans="12:12" x14ac:dyDescent="0.2">
      <c r="L4862" t="str">
        <f t="shared" si="76"/>
        <v/>
      </c>
    </row>
    <row r="4863" spans="12:12" x14ac:dyDescent="0.2">
      <c r="L4863" t="str">
        <f t="shared" si="76"/>
        <v/>
      </c>
    </row>
    <row r="4864" spans="12:12" x14ac:dyDescent="0.2">
      <c r="L4864" t="str">
        <f t="shared" si="76"/>
        <v/>
      </c>
    </row>
    <row r="4865" spans="12:12" x14ac:dyDescent="0.2">
      <c r="L4865" t="str">
        <f t="shared" si="76"/>
        <v/>
      </c>
    </row>
    <row r="4866" spans="12:12" x14ac:dyDescent="0.2">
      <c r="L4866" t="str">
        <f t="shared" si="76"/>
        <v/>
      </c>
    </row>
    <row r="4867" spans="12:12" x14ac:dyDescent="0.2">
      <c r="L4867" t="str">
        <f t="shared" si="76"/>
        <v/>
      </c>
    </row>
    <row r="4868" spans="12:12" x14ac:dyDescent="0.2">
      <c r="L4868" t="str">
        <f t="shared" ref="L4868:L4931" si="77">IF(L4867&lt;$I$15,L4867+$I$16,"")</f>
        <v/>
      </c>
    </row>
    <row r="4869" spans="12:12" x14ac:dyDescent="0.2">
      <c r="L4869" t="str">
        <f t="shared" si="77"/>
        <v/>
      </c>
    </row>
    <row r="4870" spans="12:12" x14ac:dyDescent="0.2">
      <c r="L4870" t="str">
        <f t="shared" si="77"/>
        <v/>
      </c>
    </row>
    <row r="4871" spans="12:12" x14ac:dyDescent="0.2">
      <c r="L4871" t="str">
        <f t="shared" si="77"/>
        <v/>
      </c>
    </row>
    <row r="4872" spans="12:12" x14ac:dyDescent="0.2">
      <c r="L4872" t="str">
        <f t="shared" si="77"/>
        <v/>
      </c>
    </row>
    <row r="4873" spans="12:12" x14ac:dyDescent="0.2">
      <c r="L4873" t="str">
        <f t="shared" si="77"/>
        <v/>
      </c>
    </row>
    <row r="4874" spans="12:12" x14ac:dyDescent="0.2">
      <c r="L4874" t="str">
        <f t="shared" si="77"/>
        <v/>
      </c>
    </row>
    <row r="4875" spans="12:12" x14ac:dyDescent="0.2">
      <c r="L4875" t="str">
        <f t="shared" si="77"/>
        <v/>
      </c>
    </row>
    <row r="4876" spans="12:12" x14ac:dyDescent="0.2">
      <c r="L4876" t="str">
        <f t="shared" si="77"/>
        <v/>
      </c>
    </row>
    <row r="4877" spans="12:12" x14ac:dyDescent="0.2">
      <c r="L4877" t="str">
        <f t="shared" si="77"/>
        <v/>
      </c>
    </row>
    <row r="4878" spans="12:12" x14ac:dyDescent="0.2">
      <c r="L4878" t="str">
        <f t="shared" si="77"/>
        <v/>
      </c>
    </row>
    <row r="4879" spans="12:12" x14ac:dyDescent="0.2">
      <c r="L4879" t="str">
        <f t="shared" si="77"/>
        <v/>
      </c>
    </row>
    <row r="4880" spans="12:12" x14ac:dyDescent="0.2">
      <c r="L4880" t="str">
        <f t="shared" si="77"/>
        <v/>
      </c>
    </row>
    <row r="4881" spans="12:12" x14ac:dyDescent="0.2">
      <c r="L4881" t="str">
        <f t="shared" si="77"/>
        <v/>
      </c>
    </row>
    <row r="4882" spans="12:12" x14ac:dyDescent="0.2">
      <c r="L4882" t="str">
        <f t="shared" si="77"/>
        <v/>
      </c>
    </row>
    <row r="4883" spans="12:12" x14ac:dyDescent="0.2">
      <c r="L4883" t="str">
        <f t="shared" si="77"/>
        <v/>
      </c>
    </row>
    <row r="4884" spans="12:12" x14ac:dyDescent="0.2">
      <c r="L4884" t="str">
        <f t="shared" si="77"/>
        <v/>
      </c>
    </row>
    <row r="4885" spans="12:12" x14ac:dyDescent="0.2">
      <c r="L4885" t="str">
        <f t="shared" si="77"/>
        <v/>
      </c>
    </row>
    <row r="4886" spans="12:12" x14ac:dyDescent="0.2">
      <c r="L4886" t="str">
        <f t="shared" si="77"/>
        <v/>
      </c>
    </row>
    <row r="4887" spans="12:12" x14ac:dyDescent="0.2">
      <c r="L4887" t="str">
        <f t="shared" si="77"/>
        <v/>
      </c>
    </row>
    <row r="4888" spans="12:12" x14ac:dyDescent="0.2">
      <c r="L4888" t="str">
        <f t="shared" si="77"/>
        <v/>
      </c>
    </row>
    <row r="4889" spans="12:12" x14ac:dyDescent="0.2">
      <c r="L4889" t="str">
        <f t="shared" si="77"/>
        <v/>
      </c>
    </row>
    <row r="4890" spans="12:12" x14ac:dyDescent="0.2">
      <c r="L4890" t="str">
        <f t="shared" si="77"/>
        <v/>
      </c>
    </row>
    <row r="4891" spans="12:12" x14ac:dyDescent="0.2">
      <c r="L4891" t="str">
        <f t="shared" si="77"/>
        <v/>
      </c>
    </row>
    <row r="4892" spans="12:12" x14ac:dyDescent="0.2">
      <c r="L4892" t="str">
        <f t="shared" si="77"/>
        <v/>
      </c>
    </row>
    <row r="4893" spans="12:12" x14ac:dyDescent="0.2">
      <c r="L4893" t="str">
        <f t="shared" si="77"/>
        <v/>
      </c>
    </row>
    <row r="4894" spans="12:12" x14ac:dyDescent="0.2">
      <c r="L4894" t="str">
        <f t="shared" si="77"/>
        <v/>
      </c>
    </row>
    <row r="4895" spans="12:12" x14ac:dyDescent="0.2">
      <c r="L4895" t="str">
        <f t="shared" si="77"/>
        <v/>
      </c>
    </row>
    <row r="4896" spans="12:12" x14ac:dyDescent="0.2">
      <c r="L4896" t="str">
        <f t="shared" si="77"/>
        <v/>
      </c>
    </row>
    <row r="4897" spans="12:12" x14ac:dyDescent="0.2">
      <c r="L4897" t="str">
        <f t="shared" si="77"/>
        <v/>
      </c>
    </row>
    <row r="4898" spans="12:12" x14ac:dyDescent="0.2">
      <c r="L4898" t="str">
        <f t="shared" si="77"/>
        <v/>
      </c>
    </row>
    <row r="4899" spans="12:12" x14ac:dyDescent="0.2">
      <c r="L4899" t="str">
        <f t="shared" si="77"/>
        <v/>
      </c>
    </row>
    <row r="4900" spans="12:12" x14ac:dyDescent="0.2">
      <c r="L4900" t="str">
        <f t="shared" si="77"/>
        <v/>
      </c>
    </row>
    <row r="4901" spans="12:12" x14ac:dyDescent="0.2">
      <c r="L4901" t="str">
        <f t="shared" si="77"/>
        <v/>
      </c>
    </row>
    <row r="4902" spans="12:12" x14ac:dyDescent="0.2">
      <c r="L4902" t="str">
        <f t="shared" si="77"/>
        <v/>
      </c>
    </row>
    <row r="4903" spans="12:12" x14ac:dyDescent="0.2">
      <c r="L4903" t="str">
        <f t="shared" si="77"/>
        <v/>
      </c>
    </row>
    <row r="4904" spans="12:12" x14ac:dyDescent="0.2">
      <c r="L4904" t="str">
        <f t="shared" si="77"/>
        <v/>
      </c>
    </row>
    <row r="4905" spans="12:12" x14ac:dyDescent="0.2">
      <c r="L4905" t="str">
        <f t="shared" si="77"/>
        <v/>
      </c>
    </row>
    <row r="4906" spans="12:12" x14ac:dyDescent="0.2">
      <c r="L4906" t="str">
        <f t="shared" si="77"/>
        <v/>
      </c>
    </row>
    <row r="4907" spans="12:12" x14ac:dyDescent="0.2">
      <c r="L4907" t="str">
        <f t="shared" si="77"/>
        <v/>
      </c>
    </row>
    <row r="4908" spans="12:12" x14ac:dyDescent="0.2">
      <c r="L4908" t="str">
        <f t="shared" si="77"/>
        <v/>
      </c>
    </row>
    <row r="4909" spans="12:12" x14ac:dyDescent="0.2">
      <c r="L4909" t="str">
        <f t="shared" si="77"/>
        <v/>
      </c>
    </row>
    <row r="4910" spans="12:12" x14ac:dyDescent="0.2">
      <c r="L4910" t="str">
        <f t="shared" si="77"/>
        <v/>
      </c>
    </row>
    <row r="4911" spans="12:12" x14ac:dyDescent="0.2">
      <c r="L4911" t="str">
        <f t="shared" si="77"/>
        <v/>
      </c>
    </row>
    <row r="4912" spans="12:12" x14ac:dyDescent="0.2">
      <c r="L4912" t="str">
        <f t="shared" si="77"/>
        <v/>
      </c>
    </row>
    <row r="4913" spans="12:12" x14ac:dyDescent="0.2">
      <c r="L4913" t="str">
        <f t="shared" si="77"/>
        <v/>
      </c>
    </row>
    <row r="4914" spans="12:12" x14ac:dyDescent="0.2">
      <c r="L4914" t="str">
        <f t="shared" si="77"/>
        <v/>
      </c>
    </row>
    <row r="4915" spans="12:12" x14ac:dyDescent="0.2">
      <c r="L4915" t="str">
        <f t="shared" si="77"/>
        <v/>
      </c>
    </row>
    <row r="4916" spans="12:12" x14ac:dyDescent="0.2">
      <c r="L4916" t="str">
        <f t="shared" si="77"/>
        <v/>
      </c>
    </row>
    <row r="4917" spans="12:12" x14ac:dyDescent="0.2">
      <c r="L4917" t="str">
        <f t="shared" si="77"/>
        <v/>
      </c>
    </row>
    <row r="4918" spans="12:12" x14ac:dyDescent="0.2">
      <c r="L4918" t="str">
        <f t="shared" si="77"/>
        <v/>
      </c>
    </row>
    <row r="4919" spans="12:12" x14ac:dyDescent="0.2">
      <c r="L4919" t="str">
        <f t="shared" si="77"/>
        <v/>
      </c>
    </row>
    <row r="4920" spans="12:12" x14ac:dyDescent="0.2">
      <c r="L4920" t="str">
        <f t="shared" si="77"/>
        <v/>
      </c>
    </row>
    <row r="4921" spans="12:12" x14ac:dyDescent="0.2">
      <c r="L4921" t="str">
        <f t="shared" si="77"/>
        <v/>
      </c>
    </row>
    <row r="4922" spans="12:12" x14ac:dyDescent="0.2">
      <c r="L4922" t="str">
        <f t="shared" si="77"/>
        <v/>
      </c>
    </row>
    <row r="4923" spans="12:12" x14ac:dyDescent="0.2">
      <c r="L4923" t="str">
        <f t="shared" si="77"/>
        <v/>
      </c>
    </row>
    <row r="4924" spans="12:12" x14ac:dyDescent="0.2">
      <c r="L4924" t="str">
        <f t="shared" si="77"/>
        <v/>
      </c>
    </row>
    <row r="4925" spans="12:12" x14ac:dyDescent="0.2">
      <c r="L4925" t="str">
        <f t="shared" si="77"/>
        <v/>
      </c>
    </row>
    <row r="4926" spans="12:12" x14ac:dyDescent="0.2">
      <c r="L4926" t="str">
        <f t="shared" si="77"/>
        <v/>
      </c>
    </row>
    <row r="4927" spans="12:12" x14ac:dyDescent="0.2">
      <c r="L4927" t="str">
        <f t="shared" si="77"/>
        <v/>
      </c>
    </row>
    <row r="4928" spans="12:12" x14ac:dyDescent="0.2">
      <c r="L4928" t="str">
        <f t="shared" si="77"/>
        <v/>
      </c>
    </row>
    <row r="4929" spans="12:12" x14ac:dyDescent="0.2">
      <c r="L4929" t="str">
        <f t="shared" si="77"/>
        <v/>
      </c>
    </row>
    <row r="4930" spans="12:12" x14ac:dyDescent="0.2">
      <c r="L4930" t="str">
        <f t="shared" si="77"/>
        <v/>
      </c>
    </row>
    <row r="4931" spans="12:12" x14ac:dyDescent="0.2">
      <c r="L4931" t="str">
        <f t="shared" si="77"/>
        <v/>
      </c>
    </row>
    <row r="4932" spans="12:12" x14ac:dyDescent="0.2">
      <c r="L4932" t="str">
        <f t="shared" ref="L4932:L4995" si="78">IF(L4931&lt;$I$15,L4931+$I$16,"")</f>
        <v/>
      </c>
    </row>
    <row r="4933" spans="12:12" x14ac:dyDescent="0.2">
      <c r="L4933" t="str">
        <f t="shared" si="78"/>
        <v/>
      </c>
    </row>
    <row r="4934" spans="12:12" x14ac:dyDescent="0.2">
      <c r="L4934" t="str">
        <f t="shared" si="78"/>
        <v/>
      </c>
    </row>
    <row r="4935" spans="12:12" x14ac:dyDescent="0.2">
      <c r="L4935" t="str">
        <f t="shared" si="78"/>
        <v/>
      </c>
    </row>
    <row r="4936" spans="12:12" x14ac:dyDescent="0.2">
      <c r="L4936" t="str">
        <f t="shared" si="78"/>
        <v/>
      </c>
    </row>
    <row r="4937" spans="12:12" x14ac:dyDescent="0.2">
      <c r="L4937" t="str">
        <f t="shared" si="78"/>
        <v/>
      </c>
    </row>
    <row r="4938" spans="12:12" x14ac:dyDescent="0.2">
      <c r="L4938" t="str">
        <f t="shared" si="78"/>
        <v/>
      </c>
    </row>
    <row r="4939" spans="12:12" x14ac:dyDescent="0.2">
      <c r="L4939" t="str">
        <f t="shared" si="78"/>
        <v/>
      </c>
    </row>
    <row r="4940" spans="12:12" x14ac:dyDescent="0.2">
      <c r="L4940" t="str">
        <f t="shared" si="78"/>
        <v/>
      </c>
    </row>
    <row r="4941" spans="12:12" x14ac:dyDescent="0.2">
      <c r="L4941" t="str">
        <f t="shared" si="78"/>
        <v/>
      </c>
    </row>
    <row r="4942" spans="12:12" x14ac:dyDescent="0.2">
      <c r="L4942" t="str">
        <f t="shared" si="78"/>
        <v/>
      </c>
    </row>
    <row r="4943" spans="12:12" x14ac:dyDescent="0.2">
      <c r="L4943" t="str">
        <f t="shared" si="78"/>
        <v/>
      </c>
    </row>
    <row r="4944" spans="12:12" x14ac:dyDescent="0.2">
      <c r="L4944" t="str">
        <f t="shared" si="78"/>
        <v/>
      </c>
    </row>
    <row r="4945" spans="12:12" x14ac:dyDescent="0.2">
      <c r="L4945" t="str">
        <f t="shared" si="78"/>
        <v/>
      </c>
    </row>
    <row r="4946" spans="12:12" x14ac:dyDescent="0.2">
      <c r="L4946" t="str">
        <f t="shared" si="78"/>
        <v/>
      </c>
    </row>
    <row r="4947" spans="12:12" x14ac:dyDescent="0.2">
      <c r="L4947" t="str">
        <f t="shared" si="78"/>
        <v/>
      </c>
    </row>
    <row r="4948" spans="12:12" x14ac:dyDescent="0.2">
      <c r="L4948" t="str">
        <f t="shared" si="78"/>
        <v/>
      </c>
    </row>
    <row r="4949" spans="12:12" x14ac:dyDescent="0.2">
      <c r="L4949" t="str">
        <f t="shared" si="78"/>
        <v/>
      </c>
    </row>
    <row r="4950" spans="12:12" x14ac:dyDescent="0.2">
      <c r="L4950" t="str">
        <f t="shared" si="78"/>
        <v/>
      </c>
    </row>
    <row r="4951" spans="12:12" x14ac:dyDescent="0.2">
      <c r="L4951" t="str">
        <f t="shared" si="78"/>
        <v/>
      </c>
    </row>
    <row r="4952" spans="12:12" x14ac:dyDescent="0.2">
      <c r="L4952" t="str">
        <f t="shared" si="78"/>
        <v/>
      </c>
    </row>
    <row r="4953" spans="12:12" x14ac:dyDescent="0.2">
      <c r="L4953" t="str">
        <f t="shared" si="78"/>
        <v/>
      </c>
    </row>
    <row r="4954" spans="12:12" x14ac:dyDescent="0.2">
      <c r="L4954" t="str">
        <f t="shared" si="78"/>
        <v/>
      </c>
    </row>
    <row r="4955" spans="12:12" x14ac:dyDescent="0.2">
      <c r="L4955" t="str">
        <f t="shared" si="78"/>
        <v/>
      </c>
    </row>
    <row r="4956" spans="12:12" x14ac:dyDescent="0.2">
      <c r="L4956" t="str">
        <f t="shared" si="78"/>
        <v/>
      </c>
    </row>
    <row r="4957" spans="12:12" x14ac:dyDescent="0.2">
      <c r="L4957" t="str">
        <f t="shared" si="78"/>
        <v/>
      </c>
    </row>
    <row r="4958" spans="12:12" x14ac:dyDescent="0.2">
      <c r="L4958" t="str">
        <f t="shared" si="78"/>
        <v/>
      </c>
    </row>
    <row r="4959" spans="12:12" x14ac:dyDescent="0.2">
      <c r="L4959" t="str">
        <f t="shared" si="78"/>
        <v/>
      </c>
    </row>
    <row r="4960" spans="12:12" x14ac:dyDescent="0.2">
      <c r="L4960" t="str">
        <f t="shared" si="78"/>
        <v/>
      </c>
    </row>
    <row r="4961" spans="12:12" x14ac:dyDescent="0.2">
      <c r="L4961" t="str">
        <f t="shared" si="78"/>
        <v/>
      </c>
    </row>
    <row r="4962" spans="12:12" x14ac:dyDescent="0.2">
      <c r="L4962" t="str">
        <f t="shared" si="78"/>
        <v/>
      </c>
    </row>
    <row r="4963" spans="12:12" x14ac:dyDescent="0.2">
      <c r="L4963" t="str">
        <f t="shared" si="78"/>
        <v/>
      </c>
    </row>
    <row r="4964" spans="12:12" x14ac:dyDescent="0.2">
      <c r="L4964" t="str">
        <f t="shared" si="78"/>
        <v/>
      </c>
    </row>
    <row r="4965" spans="12:12" x14ac:dyDescent="0.2">
      <c r="L4965" t="str">
        <f t="shared" si="78"/>
        <v/>
      </c>
    </row>
    <row r="4966" spans="12:12" x14ac:dyDescent="0.2">
      <c r="L4966" t="str">
        <f t="shared" si="78"/>
        <v/>
      </c>
    </row>
    <row r="4967" spans="12:12" x14ac:dyDescent="0.2">
      <c r="L4967" t="str">
        <f t="shared" si="78"/>
        <v/>
      </c>
    </row>
    <row r="4968" spans="12:12" x14ac:dyDescent="0.2">
      <c r="L4968" t="str">
        <f t="shared" si="78"/>
        <v/>
      </c>
    </row>
    <row r="4969" spans="12:12" x14ac:dyDescent="0.2">
      <c r="L4969" t="str">
        <f t="shared" si="78"/>
        <v/>
      </c>
    </row>
    <row r="4970" spans="12:12" x14ac:dyDescent="0.2">
      <c r="L4970" t="str">
        <f t="shared" si="78"/>
        <v/>
      </c>
    </row>
    <row r="4971" spans="12:12" x14ac:dyDescent="0.2">
      <c r="L4971" t="str">
        <f t="shared" si="78"/>
        <v/>
      </c>
    </row>
    <row r="4972" spans="12:12" x14ac:dyDescent="0.2">
      <c r="L4972" t="str">
        <f t="shared" si="78"/>
        <v/>
      </c>
    </row>
    <row r="4973" spans="12:12" x14ac:dyDescent="0.2">
      <c r="L4973" t="str">
        <f t="shared" si="78"/>
        <v/>
      </c>
    </row>
    <row r="4974" spans="12:12" x14ac:dyDescent="0.2">
      <c r="L4974" t="str">
        <f t="shared" si="78"/>
        <v/>
      </c>
    </row>
    <row r="4975" spans="12:12" x14ac:dyDescent="0.2">
      <c r="L4975" t="str">
        <f t="shared" si="78"/>
        <v/>
      </c>
    </row>
    <row r="4976" spans="12:12" x14ac:dyDescent="0.2">
      <c r="L4976" t="str">
        <f t="shared" si="78"/>
        <v/>
      </c>
    </row>
    <row r="4977" spans="12:12" x14ac:dyDescent="0.2">
      <c r="L4977" t="str">
        <f t="shared" si="78"/>
        <v/>
      </c>
    </row>
    <row r="4978" spans="12:12" x14ac:dyDescent="0.2">
      <c r="L4978" t="str">
        <f t="shared" si="78"/>
        <v/>
      </c>
    </row>
    <row r="4979" spans="12:12" x14ac:dyDescent="0.2">
      <c r="L4979" t="str">
        <f t="shared" si="78"/>
        <v/>
      </c>
    </row>
    <row r="4980" spans="12:12" x14ac:dyDescent="0.2">
      <c r="L4980" t="str">
        <f t="shared" si="78"/>
        <v/>
      </c>
    </row>
    <row r="4981" spans="12:12" x14ac:dyDescent="0.2">
      <c r="L4981" t="str">
        <f t="shared" si="78"/>
        <v/>
      </c>
    </row>
    <row r="4982" spans="12:12" x14ac:dyDescent="0.2">
      <c r="L4982" t="str">
        <f t="shared" si="78"/>
        <v/>
      </c>
    </row>
    <row r="4983" spans="12:12" x14ac:dyDescent="0.2">
      <c r="L4983" t="str">
        <f t="shared" si="78"/>
        <v/>
      </c>
    </row>
    <row r="4984" spans="12:12" x14ac:dyDescent="0.2">
      <c r="L4984" t="str">
        <f t="shared" si="78"/>
        <v/>
      </c>
    </row>
    <row r="4985" spans="12:12" x14ac:dyDescent="0.2">
      <c r="L4985" t="str">
        <f t="shared" si="78"/>
        <v/>
      </c>
    </row>
    <row r="4986" spans="12:12" x14ac:dyDescent="0.2">
      <c r="L4986" t="str">
        <f t="shared" si="78"/>
        <v/>
      </c>
    </row>
    <row r="4987" spans="12:12" x14ac:dyDescent="0.2">
      <c r="L4987" t="str">
        <f t="shared" si="78"/>
        <v/>
      </c>
    </row>
    <row r="4988" spans="12:12" x14ac:dyDescent="0.2">
      <c r="L4988" t="str">
        <f t="shared" si="78"/>
        <v/>
      </c>
    </row>
    <row r="4989" spans="12:12" x14ac:dyDescent="0.2">
      <c r="L4989" t="str">
        <f t="shared" si="78"/>
        <v/>
      </c>
    </row>
    <row r="4990" spans="12:12" x14ac:dyDescent="0.2">
      <c r="L4990" t="str">
        <f t="shared" si="78"/>
        <v/>
      </c>
    </row>
    <row r="4991" spans="12:12" x14ac:dyDescent="0.2">
      <c r="L4991" t="str">
        <f t="shared" si="78"/>
        <v/>
      </c>
    </row>
    <row r="4992" spans="12:12" x14ac:dyDescent="0.2">
      <c r="L4992" t="str">
        <f t="shared" si="78"/>
        <v/>
      </c>
    </row>
    <row r="4993" spans="12:12" x14ac:dyDescent="0.2">
      <c r="L4993" t="str">
        <f t="shared" si="78"/>
        <v/>
      </c>
    </row>
    <row r="4994" spans="12:12" x14ac:dyDescent="0.2">
      <c r="L4994" t="str">
        <f t="shared" si="78"/>
        <v/>
      </c>
    </row>
    <row r="4995" spans="12:12" x14ac:dyDescent="0.2">
      <c r="L4995" t="str">
        <f t="shared" si="78"/>
        <v/>
      </c>
    </row>
    <row r="4996" spans="12:12" x14ac:dyDescent="0.2">
      <c r="L4996" t="str">
        <f t="shared" ref="L4996:L5059" si="79">IF(L4995&lt;$I$15,L4995+$I$16,"")</f>
        <v/>
      </c>
    </row>
    <row r="4997" spans="12:12" x14ac:dyDescent="0.2">
      <c r="L4997" t="str">
        <f t="shared" si="79"/>
        <v/>
      </c>
    </row>
    <row r="4998" spans="12:12" x14ac:dyDescent="0.2">
      <c r="L4998" t="str">
        <f t="shared" si="79"/>
        <v/>
      </c>
    </row>
    <row r="4999" spans="12:12" x14ac:dyDescent="0.2">
      <c r="L4999" t="str">
        <f t="shared" si="79"/>
        <v/>
      </c>
    </row>
    <row r="5000" spans="12:12" x14ac:dyDescent="0.2">
      <c r="L5000" t="str">
        <f t="shared" si="79"/>
        <v/>
      </c>
    </row>
    <row r="5001" spans="12:12" x14ac:dyDescent="0.2">
      <c r="L5001" t="str">
        <f t="shared" si="79"/>
        <v/>
      </c>
    </row>
    <row r="5002" spans="12:12" x14ac:dyDescent="0.2">
      <c r="L5002" t="str">
        <f t="shared" si="79"/>
        <v/>
      </c>
    </row>
    <row r="5003" spans="12:12" x14ac:dyDescent="0.2">
      <c r="L5003" t="str">
        <f t="shared" si="79"/>
        <v/>
      </c>
    </row>
    <row r="5004" spans="12:12" x14ac:dyDescent="0.2">
      <c r="L5004" t="str">
        <f t="shared" si="79"/>
        <v/>
      </c>
    </row>
    <row r="5005" spans="12:12" x14ac:dyDescent="0.2">
      <c r="L5005" t="str">
        <f t="shared" si="79"/>
        <v/>
      </c>
    </row>
    <row r="5006" spans="12:12" x14ac:dyDescent="0.2">
      <c r="L5006" t="str">
        <f t="shared" si="79"/>
        <v/>
      </c>
    </row>
    <row r="5007" spans="12:12" x14ac:dyDescent="0.2">
      <c r="L5007" t="str">
        <f t="shared" si="79"/>
        <v/>
      </c>
    </row>
    <row r="5008" spans="12:12" x14ac:dyDescent="0.2">
      <c r="L5008" t="str">
        <f t="shared" si="79"/>
        <v/>
      </c>
    </row>
    <row r="5009" spans="12:12" x14ac:dyDescent="0.2">
      <c r="L5009" t="str">
        <f t="shared" si="79"/>
        <v/>
      </c>
    </row>
    <row r="5010" spans="12:12" x14ac:dyDescent="0.2">
      <c r="L5010" t="str">
        <f t="shared" si="79"/>
        <v/>
      </c>
    </row>
    <row r="5011" spans="12:12" x14ac:dyDescent="0.2">
      <c r="L5011" t="str">
        <f t="shared" si="79"/>
        <v/>
      </c>
    </row>
    <row r="5012" spans="12:12" x14ac:dyDescent="0.2">
      <c r="L5012" t="str">
        <f t="shared" si="79"/>
        <v/>
      </c>
    </row>
    <row r="5013" spans="12:12" x14ac:dyDescent="0.2">
      <c r="L5013" t="str">
        <f t="shared" si="79"/>
        <v/>
      </c>
    </row>
    <row r="5014" spans="12:12" x14ac:dyDescent="0.2">
      <c r="L5014" t="str">
        <f t="shared" si="79"/>
        <v/>
      </c>
    </row>
    <row r="5015" spans="12:12" x14ac:dyDescent="0.2">
      <c r="L5015" t="str">
        <f t="shared" si="79"/>
        <v/>
      </c>
    </row>
    <row r="5016" spans="12:12" x14ac:dyDescent="0.2">
      <c r="L5016" t="str">
        <f t="shared" si="79"/>
        <v/>
      </c>
    </row>
    <row r="5017" spans="12:12" x14ac:dyDescent="0.2">
      <c r="L5017" t="str">
        <f t="shared" si="79"/>
        <v/>
      </c>
    </row>
    <row r="5018" spans="12:12" x14ac:dyDescent="0.2">
      <c r="L5018" t="str">
        <f t="shared" si="79"/>
        <v/>
      </c>
    </row>
    <row r="5019" spans="12:12" x14ac:dyDescent="0.2">
      <c r="L5019" t="str">
        <f t="shared" si="79"/>
        <v/>
      </c>
    </row>
    <row r="5020" spans="12:12" x14ac:dyDescent="0.2">
      <c r="L5020" t="str">
        <f t="shared" si="79"/>
        <v/>
      </c>
    </row>
    <row r="5021" spans="12:12" x14ac:dyDescent="0.2">
      <c r="L5021" t="str">
        <f t="shared" si="79"/>
        <v/>
      </c>
    </row>
    <row r="5022" spans="12:12" x14ac:dyDescent="0.2">
      <c r="L5022" t="str">
        <f t="shared" si="79"/>
        <v/>
      </c>
    </row>
    <row r="5023" spans="12:12" x14ac:dyDescent="0.2">
      <c r="L5023" t="str">
        <f t="shared" si="79"/>
        <v/>
      </c>
    </row>
    <row r="5024" spans="12:12" x14ac:dyDescent="0.2">
      <c r="L5024" t="str">
        <f t="shared" si="79"/>
        <v/>
      </c>
    </row>
    <row r="5025" spans="12:12" x14ac:dyDescent="0.2">
      <c r="L5025" t="str">
        <f t="shared" si="79"/>
        <v/>
      </c>
    </row>
    <row r="5026" spans="12:12" x14ac:dyDescent="0.2">
      <c r="L5026" t="str">
        <f t="shared" si="79"/>
        <v/>
      </c>
    </row>
    <row r="5027" spans="12:12" x14ac:dyDescent="0.2">
      <c r="L5027" t="str">
        <f t="shared" si="79"/>
        <v/>
      </c>
    </row>
    <row r="5028" spans="12:12" x14ac:dyDescent="0.2">
      <c r="L5028" t="str">
        <f t="shared" si="79"/>
        <v/>
      </c>
    </row>
    <row r="5029" spans="12:12" x14ac:dyDescent="0.2">
      <c r="L5029" t="str">
        <f t="shared" si="79"/>
        <v/>
      </c>
    </row>
    <row r="5030" spans="12:12" x14ac:dyDescent="0.2">
      <c r="L5030" t="str">
        <f t="shared" si="79"/>
        <v/>
      </c>
    </row>
    <row r="5031" spans="12:12" x14ac:dyDescent="0.2">
      <c r="L5031" t="str">
        <f t="shared" si="79"/>
        <v/>
      </c>
    </row>
    <row r="5032" spans="12:12" x14ac:dyDescent="0.2">
      <c r="L5032" t="str">
        <f t="shared" si="79"/>
        <v/>
      </c>
    </row>
    <row r="5033" spans="12:12" x14ac:dyDescent="0.2">
      <c r="L5033" t="str">
        <f t="shared" si="79"/>
        <v/>
      </c>
    </row>
    <row r="5034" spans="12:12" x14ac:dyDescent="0.2">
      <c r="L5034" t="str">
        <f t="shared" si="79"/>
        <v/>
      </c>
    </row>
    <row r="5035" spans="12:12" x14ac:dyDescent="0.2">
      <c r="L5035" t="str">
        <f t="shared" si="79"/>
        <v/>
      </c>
    </row>
    <row r="5036" spans="12:12" x14ac:dyDescent="0.2">
      <c r="L5036" t="str">
        <f t="shared" si="79"/>
        <v/>
      </c>
    </row>
    <row r="5037" spans="12:12" x14ac:dyDescent="0.2">
      <c r="L5037" t="str">
        <f t="shared" si="79"/>
        <v/>
      </c>
    </row>
    <row r="5038" spans="12:12" x14ac:dyDescent="0.2">
      <c r="L5038" t="str">
        <f t="shared" si="79"/>
        <v/>
      </c>
    </row>
    <row r="5039" spans="12:12" x14ac:dyDescent="0.2">
      <c r="L5039" t="str">
        <f t="shared" si="79"/>
        <v/>
      </c>
    </row>
    <row r="5040" spans="12:12" x14ac:dyDescent="0.2">
      <c r="L5040" t="str">
        <f t="shared" si="79"/>
        <v/>
      </c>
    </row>
    <row r="5041" spans="12:12" x14ac:dyDescent="0.2">
      <c r="L5041" t="str">
        <f t="shared" si="79"/>
        <v/>
      </c>
    </row>
    <row r="5042" spans="12:12" x14ac:dyDescent="0.2">
      <c r="L5042" t="str">
        <f t="shared" si="79"/>
        <v/>
      </c>
    </row>
    <row r="5043" spans="12:12" x14ac:dyDescent="0.2">
      <c r="L5043" t="str">
        <f t="shared" si="79"/>
        <v/>
      </c>
    </row>
    <row r="5044" spans="12:12" x14ac:dyDescent="0.2">
      <c r="L5044" t="str">
        <f t="shared" si="79"/>
        <v/>
      </c>
    </row>
    <row r="5045" spans="12:12" x14ac:dyDescent="0.2">
      <c r="L5045" t="str">
        <f t="shared" si="79"/>
        <v/>
      </c>
    </row>
    <row r="5046" spans="12:12" x14ac:dyDescent="0.2">
      <c r="L5046" t="str">
        <f t="shared" si="79"/>
        <v/>
      </c>
    </row>
    <row r="5047" spans="12:12" x14ac:dyDescent="0.2">
      <c r="L5047" t="str">
        <f t="shared" si="79"/>
        <v/>
      </c>
    </row>
    <row r="5048" spans="12:12" x14ac:dyDescent="0.2">
      <c r="L5048" t="str">
        <f t="shared" si="79"/>
        <v/>
      </c>
    </row>
    <row r="5049" spans="12:12" x14ac:dyDescent="0.2">
      <c r="L5049" t="str">
        <f t="shared" si="79"/>
        <v/>
      </c>
    </row>
    <row r="5050" spans="12:12" x14ac:dyDescent="0.2">
      <c r="L5050" t="str">
        <f t="shared" si="79"/>
        <v/>
      </c>
    </row>
    <row r="5051" spans="12:12" x14ac:dyDescent="0.2">
      <c r="L5051" t="str">
        <f t="shared" si="79"/>
        <v/>
      </c>
    </row>
    <row r="5052" spans="12:12" x14ac:dyDescent="0.2">
      <c r="L5052" t="str">
        <f t="shared" si="79"/>
        <v/>
      </c>
    </row>
    <row r="5053" spans="12:12" x14ac:dyDescent="0.2">
      <c r="L5053" t="str">
        <f t="shared" si="79"/>
        <v/>
      </c>
    </row>
    <row r="5054" spans="12:12" x14ac:dyDescent="0.2">
      <c r="L5054" t="str">
        <f t="shared" si="79"/>
        <v/>
      </c>
    </row>
    <row r="5055" spans="12:12" x14ac:dyDescent="0.2">
      <c r="L5055" t="str">
        <f t="shared" si="79"/>
        <v/>
      </c>
    </row>
    <row r="5056" spans="12:12" x14ac:dyDescent="0.2">
      <c r="L5056" t="str">
        <f t="shared" si="79"/>
        <v/>
      </c>
    </row>
    <row r="5057" spans="12:12" x14ac:dyDescent="0.2">
      <c r="L5057" t="str">
        <f t="shared" si="79"/>
        <v/>
      </c>
    </row>
    <row r="5058" spans="12:12" x14ac:dyDescent="0.2">
      <c r="L5058" t="str">
        <f t="shared" si="79"/>
        <v/>
      </c>
    </row>
    <row r="5059" spans="12:12" x14ac:dyDescent="0.2">
      <c r="L5059" t="str">
        <f t="shared" si="79"/>
        <v/>
      </c>
    </row>
    <row r="5060" spans="12:12" x14ac:dyDescent="0.2">
      <c r="L5060" t="str">
        <f t="shared" ref="L5060:L5123" si="80">IF(L5059&lt;$I$15,L5059+$I$16,"")</f>
        <v/>
      </c>
    </row>
    <row r="5061" spans="12:12" x14ac:dyDescent="0.2">
      <c r="L5061" t="str">
        <f t="shared" si="80"/>
        <v/>
      </c>
    </row>
    <row r="5062" spans="12:12" x14ac:dyDescent="0.2">
      <c r="L5062" t="str">
        <f t="shared" si="80"/>
        <v/>
      </c>
    </row>
    <row r="5063" spans="12:12" x14ac:dyDescent="0.2">
      <c r="L5063" t="str">
        <f t="shared" si="80"/>
        <v/>
      </c>
    </row>
    <row r="5064" spans="12:12" x14ac:dyDescent="0.2">
      <c r="L5064" t="str">
        <f t="shared" si="80"/>
        <v/>
      </c>
    </row>
    <row r="5065" spans="12:12" x14ac:dyDescent="0.2">
      <c r="L5065" t="str">
        <f t="shared" si="80"/>
        <v/>
      </c>
    </row>
    <row r="5066" spans="12:12" x14ac:dyDescent="0.2">
      <c r="L5066" t="str">
        <f t="shared" si="80"/>
        <v/>
      </c>
    </row>
    <row r="5067" spans="12:12" x14ac:dyDescent="0.2">
      <c r="L5067" t="str">
        <f t="shared" si="80"/>
        <v/>
      </c>
    </row>
    <row r="5068" spans="12:12" x14ac:dyDescent="0.2">
      <c r="L5068" t="str">
        <f t="shared" si="80"/>
        <v/>
      </c>
    </row>
    <row r="5069" spans="12:12" x14ac:dyDescent="0.2">
      <c r="L5069" t="str">
        <f t="shared" si="80"/>
        <v/>
      </c>
    </row>
    <row r="5070" spans="12:12" x14ac:dyDescent="0.2">
      <c r="L5070" t="str">
        <f t="shared" si="80"/>
        <v/>
      </c>
    </row>
    <row r="5071" spans="12:12" x14ac:dyDescent="0.2">
      <c r="L5071" t="str">
        <f t="shared" si="80"/>
        <v/>
      </c>
    </row>
    <row r="5072" spans="12:12" x14ac:dyDescent="0.2">
      <c r="L5072" t="str">
        <f t="shared" si="80"/>
        <v/>
      </c>
    </row>
    <row r="5073" spans="12:12" x14ac:dyDescent="0.2">
      <c r="L5073" t="str">
        <f t="shared" si="80"/>
        <v/>
      </c>
    </row>
    <row r="5074" spans="12:12" x14ac:dyDescent="0.2">
      <c r="L5074" t="str">
        <f t="shared" si="80"/>
        <v/>
      </c>
    </row>
    <row r="5075" spans="12:12" x14ac:dyDescent="0.2">
      <c r="L5075" t="str">
        <f t="shared" si="80"/>
        <v/>
      </c>
    </row>
    <row r="5076" spans="12:12" x14ac:dyDescent="0.2">
      <c r="L5076" t="str">
        <f t="shared" si="80"/>
        <v/>
      </c>
    </row>
    <row r="5077" spans="12:12" x14ac:dyDescent="0.2">
      <c r="L5077" t="str">
        <f t="shared" si="80"/>
        <v/>
      </c>
    </row>
    <row r="5078" spans="12:12" x14ac:dyDescent="0.2">
      <c r="L5078" t="str">
        <f t="shared" si="80"/>
        <v/>
      </c>
    </row>
    <row r="5079" spans="12:12" x14ac:dyDescent="0.2">
      <c r="L5079" t="str">
        <f t="shared" si="80"/>
        <v/>
      </c>
    </row>
    <row r="5080" spans="12:12" x14ac:dyDescent="0.2">
      <c r="L5080" t="str">
        <f t="shared" si="80"/>
        <v/>
      </c>
    </row>
    <row r="5081" spans="12:12" x14ac:dyDescent="0.2">
      <c r="L5081" t="str">
        <f t="shared" si="80"/>
        <v/>
      </c>
    </row>
    <row r="5082" spans="12:12" x14ac:dyDescent="0.2">
      <c r="L5082" t="str">
        <f t="shared" si="80"/>
        <v/>
      </c>
    </row>
    <row r="5083" spans="12:12" x14ac:dyDescent="0.2">
      <c r="L5083" t="str">
        <f t="shared" si="80"/>
        <v/>
      </c>
    </row>
    <row r="5084" spans="12:12" x14ac:dyDescent="0.2">
      <c r="L5084" t="str">
        <f t="shared" si="80"/>
        <v/>
      </c>
    </row>
    <row r="5085" spans="12:12" x14ac:dyDescent="0.2">
      <c r="L5085" t="str">
        <f t="shared" si="80"/>
        <v/>
      </c>
    </row>
    <row r="5086" spans="12:12" x14ac:dyDescent="0.2">
      <c r="L5086" t="str">
        <f t="shared" si="80"/>
        <v/>
      </c>
    </row>
    <row r="5087" spans="12:12" x14ac:dyDescent="0.2">
      <c r="L5087" t="str">
        <f t="shared" si="80"/>
        <v/>
      </c>
    </row>
    <row r="5088" spans="12:12" x14ac:dyDescent="0.2">
      <c r="L5088" t="str">
        <f t="shared" si="80"/>
        <v/>
      </c>
    </row>
    <row r="5089" spans="12:12" x14ac:dyDescent="0.2">
      <c r="L5089" t="str">
        <f t="shared" si="80"/>
        <v/>
      </c>
    </row>
    <row r="5090" spans="12:12" x14ac:dyDescent="0.2">
      <c r="L5090" t="str">
        <f t="shared" si="80"/>
        <v/>
      </c>
    </row>
    <row r="5091" spans="12:12" x14ac:dyDescent="0.2">
      <c r="L5091" t="str">
        <f t="shared" si="80"/>
        <v/>
      </c>
    </row>
    <row r="5092" spans="12:12" x14ac:dyDescent="0.2">
      <c r="L5092" t="str">
        <f t="shared" si="80"/>
        <v/>
      </c>
    </row>
    <row r="5093" spans="12:12" x14ac:dyDescent="0.2">
      <c r="L5093" t="str">
        <f t="shared" si="80"/>
        <v/>
      </c>
    </row>
    <row r="5094" spans="12:12" x14ac:dyDescent="0.2">
      <c r="L5094" t="str">
        <f t="shared" si="80"/>
        <v/>
      </c>
    </row>
    <row r="5095" spans="12:12" x14ac:dyDescent="0.2">
      <c r="L5095" t="str">
        <f t="shared" si="80"/>
        <v/>
      </c>
    </row>
    <row r="5096" spans="12:12" x14ac:dyDescent="0.2">
      <c r="L5096" t="str">
        <f t="shared" si="80"/>
        <v/>
      </c>
    </row>
    <row r="5097" spans="12:12" x14ac:dyDescent="0.2">
      <c r="L5097" t="str">
        <f t="shared" si="80"/>
        <v/>
      </c>
    </row>
    <row r="5098" spans="12:12" x14ac:dyDescent="0.2">
      <c r="L5098" t="str">
        <f t="shared" si="80"/>
        <v/>
      </c>
    </row>
    <row r="5099" spans="12:12" x14ac:dyDescent="0.2">
      <c r="L5099" t="str">
        <f t="shared" si="80"/>
        <v/>
      </c>
    </row>
    <row r="5100" spans="12:12" x14ac:dyDescent="0.2">
      <c r="L5100" t="str">
        <f t="shared" si="80"/>
        <v/>
      </c>
    </row>
    <row r="5101" spans="12:12" x14ac:dyDescent="0.2">
      <c r="L5101" t="str">
        <f t="shared" si="80"/>
        <v/>
      </c>
    </row>
    <row r="5102" spans="12:12" x14ac:dyDescent="0.2">
      <c r="L5102" t="str">
        <f t="shared" si="80"/>
        <v/>
      </c>
    </row>
    <row r="5103" spans="12:12" x14ac:dyDescent="0.2">
      <c r="L5103" t="str">
        <f t="shared" si="80"/>
        <v/>
      </c>
    </row>
    <row r="5104" spans="12:12" x14ac:dyDescent="0.2">
      <c r="L5104" t="str">
        <f t="shared" si="80"/>
        <v/>
      </c>
    </row>
    <row r="5105" spans="12:12" x14ac:dyDescent="0.2">
      <c r="L5105" t="str">
        <f t="shared" si="80"/>
        <v/>
      </c>
    </row>
    <row r="5106" spans="12:12" x14ac:dyDescent="0.2">
      <c r="L5106" t="str">
        <f t="shared" si="80"/>
        <v/>
      </c>
    </row>
    <row r="5107" spans="12:12" x14ac:dyDescent="0.2">
      <c r="L5107" t="str">
        <f t="shared" si="80"/>
        <v/>
      </c>
    </row>
    <row r="5108" spans="12:12" x14ac:dyDescent="0.2">
      <c r="L5108" t="str">
        <f t="shared" si="80"/>
        <v/>
      </c>
    </row>
    <row r="5109" spans="12:12" x14ac:dyDescent="0.2">
      <c r="L5109" t="str">
        <f t="shared" si="80"/>
        <v/>
      </c>
    </row>
    <row r="5110" spans="12:12" x14ac:dyDescent="0.2">
      <c r="L5110" t="str">
        <f t="shared" si="80"/>
        <v/>
      </c>
    </row>
    <row r="5111" spans="12:12" x14ac:dyDescent="0.2">
      <c r="L5111" t="str">
        <f t="shared" si="80"/>
        <v/>
      </c>
    </row>
    <row r="5112" spans="12:12" x14ac:dyDescent="0.2">
      <c r="L5112" t="str">
        <f t="shared" si="80"/>
        <v/>
      </c>
    </row>
    <row r="5113" spans="12:12" x14ac:dyDescent="0.2">
      <c r="L5113" t="str">
        <f t="shared" si="80"/>
        <v/>
      </c>
    </row>
    <row r="5114" spans="12:12" x14ac:dyDescent="0.2">
      <c r="L5114" t="str">
        <f t="shared" si="80"/>
        <v/>
      </c>
    </row>
    <row r="5115" spans="12:12" x14ac:dyDescent="0.2">
      <c r="L5115" t="str">
        <f t="shared" si="80"/>
        <v/>
      </c>
    </row>
    <row r="5116" spans="12:12" x14ac:dyDescent="0.2">
      <c r="L5116" t="str">
        <f t="shared" si="80"/>
        <v/>
      </c>
    </row>
    <row r="5117" spans="12:12" x14ac:dyDescent="0.2">
      <c r="L5117" t="str">
        <f t="shared" si="80"/>
        <v/>
      </c>
    </row>
    <row r="5118" spans="12:12" x14ac:dyDescent="0.2">
      <c r="L5118" t="str">
        <f t="shared" si="80"/>
        <v/>
      </c>
    </row>
    <row r="5119" spans="12:12" x14ac:dyDescent="0.2">
      <c r="L5119" t="str">
        <f t="shared" si="80"/>
        <v/>
      </c>
    </row>
    <row r="5120" spans="12:12" x14ac:dyDescent="0.2">
      <c r="L5120" t="str">
        <f t="shared" si="80"/>
        <v/>
      </c>
    </row>
    <row r="5121" spans="12:12" x14ac:dyDescent="0.2">
      <c r="L5121" t="str">
        <f t="shared" si="80"/>
        <v/>
      </c>
    </row>
    <row r="5122" spans="12:12" x14ac:dyDescent="0.2">
      <c r="L5122" t="str">
        <f t="shared" si="80"/>
        <v/>
      </c>
    </row>
    <row r="5123" spans="12:12" x14ac:dyDescent="0.2">
      <c r="L5123" t="str">
        <f t="shared" si="80"/>
        <v/>
      </c>
    </row>
    <row r="5124" spans="12:12" x14ac:dyDescent="0.2">
      <c r="L5124" t="str">
        <f t="shared" ref="L5124:L5187" si="81">IF(L5123&lt;$I$15,L5123+$I$16,"")</f>
        <v/>
      </c>
    </row>
    <row r="5125" spans="12:12" x14ac:dyDescent="0.2">
      <c r="L5125" t="str">
        <f t="shared" si="81"/>
        <v/>
      </c>
    </row>
    <row r="5126" spans="12:12" x14ac:dyDescent="0.2">
      <c r="L5126" t="str">
        <f t="shared" si="81"/>
        <v/>
      </c>
    </row>
    <row r="5127" spans="12:12" x14ac:dyDescent="0.2">
      <c r="L5127" t="str">
        <f t="shared" si="81"/>
        <v/>
      </c>
    </row>
    <row r="5128" spans="12:12" x14ac:dyDescent="0.2">
      <c r="L5128" t="str">
        <f t="shared" si="81"/>
        <v/>
      </c>
    </row>
    <row r="5129" spans="12:12" x14ac:dyDescent="0.2">
      <c r="L5129" t="str">
        <f t="shared" si="81"/>
        <v/>
      </c>
    </row>
    <row r="5130" spans="12:12" x14ac:dyDescent="0.2">
      <c r="L5130" t="str">
        <f t="shared" si="81"/>
        <v/>
      </c>
    </row>
    <row r="5131" spans="12:12" x14ac:dyDescent="0.2">
      <c r="L5131" t="str">
        <f t="shared" si="81"/>
        <v/>
      </c>
    </row>
    <row r="5132" spans="12:12" x14ac:dyDescent="0.2">
      <c r="L5132" t="str">
        <f t="shared" si="81"/>
        <v/>
      </c>
    </row>
    <row r="5133" spans="12:12" x14ac:dyDescent="0.2">
      <c r="L5133" t="str">
        <f t="shared" si="81"/>
        <v/>
      </c>
    </row>
    <row r="5134" spans="12:12" x14ac:dyDescent="0.2">
      <c r="L5134" t="str">
        <f t="shared" si="81"/>
        <v/>
      </c>
    </row>
    <row r="5135" spans="12:12" x14ac:dyDescent="0.2">
      <c r="L5135" t="str">
        <f t="shared" si="81"/>
        <v/>
      </c>
    </row>
    <row r="5136" spans="12:12" x14ac:dyDescent="0.2">
      <c r="L5136" t="str">
        <f t="shared" si="81"/>
        <v/>
      </c>
    </row>
    <row r="5137" spans="12:12" x14ac:dyDescent="0.2">
      <c r="L5137" t="str">
        <f t="shared" si="81"/>
        <v/>
      </c>
    </row>
    <row r="5138" spans="12:12" x14ac:dyDescent="0.2">
      <c r="L5138" t="str">
        <f t="shared" si="81"/>
        <v/>
      </c>
    </row>
    <row r="5139" spans="12:12" x14ac:dyDescent="0.2">
      <c r="L5139" t="str">
        <f t="shared" si="81"/>
        <v/>
      </c>
    </row>
    <row r="5140" spans="12:12" x14ac:dyDescent="0.2">
      <c r="L5140" t="str">
        <f t="shared" si="81"/>
        <v/>
      </c>
    </row>
    <row r="5141" spans="12:12" x14ac:dyDescent="0.2">
      <c r="L5141" t="str">
        <f t="shared" si="81"/>
        <v/>
      </c>
    </row>
    <row r="5142" spans="12:12" x14ac:dyDescent="0.2">
      <c r="L5142" t="str">
        <f t="shared" si="81"/>
        <v/>
      </c>
    </row>
    <row r="5143" spans="12:12" x14ac:dyDescent="0.2">
      <c r="L5143" t="str">
        <f t="shared" si="81"/>
        <v/>
      </c>
    </row>
    <row r="5144" spans="12:12" x14ac:dyDescent="0.2">
      <c r="L5144" t="str">
        <f t="shared" si="81"/>
        <v/>
      </c>
    </row>
    <row r="5145" spans="12:12" x14ac:dyDescent="0.2">
      <c r="L5145" t="str">
        <f t="shared" si="81"/>
        <v/>
      </c>
    </row>
    <row r="5146" spans="12:12" x14ac:dyDescent="0.2">
      <c r="L5146" t="str">
        <f t="shared" si="81"/>
        <v/>
      </c>
    </row>
    <row r="5147" spans="12:12" x14ac:dyDescent="0.2">
      <c r="L5147" t="str">
        <f t="shared" si="81"/>
        <v/>
      </c>
    </row>
    <row r="5148" spans="12:12" x14ac:dyDescent="0.2">
      <c r="L5148" t="str">
        <f t="shared" si="81"/>
        <v/>
      </c>
    </row>
    <row r="5149" spans="12:12" x14ac:dyDescent="0.2">
      <c r="L5149" t="str">
        <f t="shared" si="81"/>
        <v/>
      </c>
    </row>
    <row r="5150" spans="12:12" x14ac:dyDescent="0.2">
      <c r="L5150" t="str">
        <f t="shared" si="81"/>
        <v/>
      </c>
    </row>
    <row r="5151" spans="12:12" x14ac:dyDescent="0.2">
      <c r="L5151" t="str">
        <f t="shared" si="81"/>
        <v/>
      </c>
    </row>
    <row r="5152" spans="12:12" x14ac:dyDescent="0.2">
      <c r="L5152" t="str">
        <f t="shared" si="81"/>
        <v/>
      </c>
    </row>
    <row r="5153" spans="12:12" x14ac:dyDescent="0.2">
      <c r="L5153" t="str">
        <f t="shared" si="81"/>
        <v/>
      </c>
    </row>
    <row r="5154" spans="12:12" x14ac:dyDescent="0.2">
      <c r="L5154" t="str">
        <f t="shared" si="81"/>
        <v/>
      </c>
    </row>
    <row r="5155" spans="12:12" x14ac:dyDescent="0.2">
      <c r="L5155" t="str">
        <f t="shared" si="81"/>
        <v/>
      </c>
    </row>
    <row r="5156" spans="12:12" x14ac:dyDescent="0.2">
      <c r="L5156" t="str">
        <f t="shared" si="81"/>
        <v/>
      </c>
    </row>
    <row r="5157" spans="12:12" x14ac:dyDescent="0.2">
      <c r="L5157" t="str">
        <f t="shared" si="81"/>
        <v/>
      </c>
    </row>
    <row r="5158" spans="12:12" x14ac:dyDescent="0.2">
      <c r="L5158" t="str">
        <f t="shared" si="81"/>
        <v/>
      </c>
    </row>
    <row r="5159" spans="12:12" x14ac:dyDescent="0.2">
      <c r="L5159" t="str">
        <f t="shared" si="81"/>
        <v/>
      </c>
    </row>
    <row r="5160" spans="12:12" x14ac:dyDescent="0.2">
      <c r="L5160" t="str">
        <f t="shared" si="81"/>
        <v/>
      </c>
    </row>
    <row r="5161" spans="12:12" x14ac:dyDescent="0.2">
      <c r="L5161" t="str">
        <f t="shared" si="81"/>
        <v/>
      </c>
    </row>
    <row r="5162" spans="12:12" x14ac:dyDescent="0.2">
      <c r="L5162" t="str">
        <f t="shared" si="81"/>
        <v/>
      </c>
    </row>
    <row r="5163" spans="12:12" x14ac:dyDescent="0.2">
      <c r="L5163" t="str">
        <f t="shared" si="81"/>
        <v/>
      </c>
    </row>
    <row r="5164" spans="12:12" x14ac:dyDescent="0.2">
      <c r="L5164" t="str">
        <f t="shared" si="81"/>
        <v/>
      </c>
    </row>
    <row r="5165" spans="12:12" x14ac:dyDescent="0.2">
      <c r="L5165" t="str">
        <f t="shared" si="81"/>
        <v/>
      </c>
    </row>
    <row r="5166" spans="12:12" x14ac:dyDescent="0.2">
      <c r="L5166" t="str">
        <f t="shared" si="81"/>
        <v/>
      </c>
    </row>
    <row r="5167" spans="12:12" x14ac:dyDescent="0.2">
      <c r="L5167" t="str">
        <f t="shared" si="81"/>
        <v/>
      </c>
    </row>
    <row r="5168" spans="12:12" x14ac:dyDescent="0.2">
      <c r="L5168" t="str">
        <f t="shared" si="81"/>
        <v/>
      </c>
    </row>
    <row r="5169" spans="12:12" x14ac:dyDescent="0.2">
      <c r="L5169" t="str">
        <f t="shared" si="81"/>
        <v/>
      </c>
    </row>
    <row r="5170" spans="12:12" x14ac:dyDescent="0.2">
      <c r="L5170" t="str">
        <f t="shared" si="81"/>
        <v/>
      </c>
    </row>
    <row r="5171" spans="12:12" x14ac:dyDescent="0.2">
      <c r="L5171" t="str">
        <f t="shared" si="81"/>
        <v/>
      </c>
    </row>
    <row r="5172" spans="12:12" x14ac:dyDescent="0.2">
      <c r="L5172" t="str">
        <f t="shared" si="81"/>
        <v/>
      </c>
    </row>
    <row r="5173" spans="12:12" x14ac:dyDescent="0.2">
      <c r="L5173" t="str">
        <f t="shared" si="81"/>
        <v/>
      </c>
    </row>
    <row r="5174" spans="12:12" x14ac:dyDescent="0.2">
      <c r="L5174" t="str">
        <f t="shared" si="81"/>
        <v/>
      </c>
    </row>
    <row r="5175" spans="12:12" x14ac:dyDescent="0.2">
      <c r="L5175" t="str">
        <f t="shared" si="81"/>
        <v/>
      </c>
    </row>
    <row r="5176" spans="12:12" x14ac:dyDescent="0.2">
      <c r="L5176" t="str">
        <f t="shared" si="81"/>
        <v/>
      </c>
    </row>
    <row r="5177" spans="12:12" x14ac:dyDescent="0.2">
      <c r="L5177" t="str">
        <f t="shared" si="81"/>
        <v/>
      </c>
    </row>
    <row r="5178" spans="12:12" x14ac:dyDescent="0.2">
      <c r="L5178" t="str">
        <f t="shared" si="81"/>
        <v/>
      </c>
    </row>
    <row r="5179" spans="12:12" x14ac:dyDescent="0.2">
      <c r="L5179" t="str">
        <f t="shared" si="81"/>
        <v/>
      </c>
    </row>
    <row r="5180" spans="12:12" x14ac:dyDescent="0.2">
      <c r="L5180" t="str">
        <f t="shared" si="81"/>
        <v/>
      </c>
    </row>
    <row r="5181" spans="12:12" x14ac:dyDescent="0.2">
      <c r="L5181" t="str">
        <f t="shared" si="81"/>
        <v/>
      </c>
    </row>
    <row r="5182" spans="12:12" x14ac:dyDescent="0.2">
      <c r="L5182" t="str">
        <f t="shared" si="81"/>
        <v/>
      </c>
    </row>
    <row r="5183" spans="12:12" x14ac:dyDescent="0.2">
      <c r="L5183" t="str">
        <f t="shared" si="81"/>
        <v/>
      </c>
    </row>
    <row r="5184" spans="12:12" x14ac:dyDescent="0.2">
      <c r="L5184" t="str">
        <f t="shared" si="81"/>
        <v/>
      </c>
    </row>
    <row r="5185" spans="12:12" x14ac:dyDescent="0.2">
      <c r="L5185" t="str">
        <f t="shared" si="81"/>
        <v/>
      </c>
    </row>
    <row r="5186" spans="12:12" x14ac:dyDescent="0.2">
      <c r="L5186" t="str">
        <f t="shared" si="81"/>
        <v/>
      </c>
    </row>
    <row r="5187" spans="12:12" x14ac:dyDescent="0.2">
      <c r="L5187" t="str">
        <f t="shared" si="81"/>
        <v/>
      </c>
    </row>
    <row r="5188" spans="12:12" x14ac:dyDescent="0.2">
      <c r="L5188" t="str">
        <f t="shared" ref="L5188:L5251" si="82">IF(L5187&lt;$I$15,L5187+$I$16,"")</f>
        <v/>
      </c>
    </row>
    <row r="5189" spans="12:12" x14ac:dyDescent="0.2">
      <c r="L5189" t="str">
        <f t="shared" si="82"/>
        <v/>
      </c>
    </row>
    <row r="5190" spans="12:12" x14ac:dyDescent="0.2">
      <c r="L5190" t="str">
        <f t="shared" si="82"/>
        <v/>
      </c>
    </row>
    <row r="5191" spans="12:12" x14ac:dyDescent="0.2">
      <c r="L5191" t="str">
        <f t="shared" si="82"/>
        <v/>
      </c>
    </row>
    <row r="5192" spans="12:12" x14ac:dyDescent="0.2">
      <c r="L5192" t="str">
        <f t="shared" si="82"/>
        <v/>
      </c>
    </row>
    <row r="5193" spans="12:12" x14ac:dyDescent="0.2">
      <c r="L5193" t="str">
        <f t="shared" si="82"/>
        <v/>
      </c>
    </row>
    <row r="5194" spans="12:12" x14ac:dyDescent="0.2">
      <c r="L5194" t="str">
        <f t="shared" si="82"/>
        <v/>
      </c>
    </row>
    <row r="5195" spans="12:12" x14ac:dyDescent="0.2">
      <c r="L5195" t="str">
        <f t="shared" si="82"/>
        <v/>
      </c>
    </row>
    <row r="5196" spans="12:12" x14ac:dyDescent="0.2">
      <c r="L5196" t="str">
        <f t="shared" si="82"/>
        <v/>
      </c>
    </row>
    <row r="5197" spans="12:12" x14ac:dyDescent="0.2">
      <c r="L5197" t="str">
        <f t="shared" si="82"/>
        <v/>
      </c>
    </row>
    <row r="5198" spans="12:12" x14ac:dyDescent="0.2">
      <c r="L5198" t="str">
        <f t="shared" si="82"/>
        <v/>
      </c>
    </row>
    <row r="5199" spans="12:12" x14ac:dyDescent="0.2">
      <c r="L5199" t="str">
        <f t="shared" si="82"/>
        <v/>
      </c>
    </row>
    <row r="5200" spans="12:12" x14ac:dyDescent="0.2">
      <c r="L5200" t="str">
        <f t="shared" si="82"/>
        <v/>
      </c>
    </row>
    <row r="5201" spans="12:12" x14ac:dyDescent="0.2">
      <c r="L5201" t="str">
        <f t="shared" si="82"/>
        <v/>
      </c>
    </row>
    <row r="5202" spans="12:12" x14ac:dyDescent="0.2">
      <c r="L5202" t="str">
        <f t="shared" si="82"/>
        <v/>
      </c>
    </row>
    <row r="5203" spans="12:12" x14ac:dyDescent="0.2">
      <c r="L5203" t="str">
        <f t="shared" si="82"/>
        <v/>
      </c>
    </row>
    <row r="5204" spans="12:12" x14ac:dyDescent="0.2">
      <c r="L5204" t="str">
        <f t="shared" si="82"/>
        <v/>
      </c>
    </row>
    <row r="5205" spans="12:12" x14ac:dyDescent="0.2">
      <c r="L5205" t="str">
        <f t="shared" si="82"/>
        <v/>
      </c>
    </row>
    <row r="5206" spans="12:12" x14ac:dyDescent="0.2">
      <c r="L5206" t="str">
        <f t="shared" si="82"/>
        <v/>
      </c>
    </row>
    <row r="5207" spans="12:12" x14ac:dyDescent="0.2">
      <c r="L5207" t="str">
        <f t="shared" si="82"/>
        <v/>
      </c>
    </row>
    <row r="5208" spans="12:12" x14ac:dyDescent="0.2">
      <c r="L5208" t="str">
        <f t="shared" si="82"/>
        <v/>
      </c>
    </row>
    <row r="5209" spans="12:12" x14ac:dyDescent="0.2">
      <c r="L5209" t="str">
        <f t="shared" si="82"/>
        <v/>
      </c>
    </row>
    <row r="5210" spans="12:12" x14ac:dyDescent="0.2">
      <c r="L5210" t="str">
        <f t="shared" si="82"/>
        <v/>
      </c>
    </row>
    <row r="5211" spans="12:12" x14ac:dyDescent="0.2">
      <c r="L5211" t="str">
        <f t="shared" si="82"/>
        <v/>
      </c>
    </row>
    <row r="5212" spans="12:12" x14ac:dyDescent="0.2">
      <c r="L5212" t="str">
        <f t="shared" si="82"/>
        <v/>
      </c>
    </row>
    <row r="5213" spans="12:12" x14ac:dyDescent="0.2">
      <c r="L5213" t="str">
        <f t="shared" si="82"/>
        <v/>
      </c>
    </row>
    <row r="5214" spans="12:12" x14ac:dyDescent="0.2">
      <c r="L5214" t="str">
        <f t="shared" si="82"/>
        <v/>
      </c>
    </row>
    <row r="5215" spans="12:12" x14ac:dyDescent="0.2">
      <c r="L5215" t="str">
        <f t="shared" si="82"/>
        <v/>
      </c>
    </row>
    <row r="5216" spans="12:12" x14ac:dyDescent="0.2">
      <c r="L5216" t="str">
        <f t="shared" si="82"/>
        <v/>
      </c>
    </row>
    <row r="5217" spans="12:12" x14ac:dyDescent="0.2">
      <c r="L5217" t="str">
        <f t="shared" si="82"/>
        <v/>
      </c>
    </row>
    <row r="5218" spans="12:12" x14ac:dyDescent="0.2">
      <c r="L5218" t="str">
        <f t="shared" si="82"/>
        <v/>
      </c>
    </row>
    <row r="5219" spans="12:12" x14ac:dyDescent="0.2">
      <c r="L5219" t="str">
        <f t="shared" si="82"/>
        <v/>
      </c>
    </row>
    <row r="5220" spans="12:12" x14ac:dyDescent="0.2">
      <c r="L5220" t="str">
        <f t="shared" si="82"/>
        <v/>
      </c>
    </row>
    <row r="5221" spans="12:12" x14ac:dyDescent="0.2">
      <c r="L5221" t="str">
        <f t="shared" si="82"/>
        <v/>
      </c>
    </row>
    <row r="5222" spans="12:12" x14ac:dyDescent="0.2">
      <c r="L5222" t="str">
        <f t="shared" si="82"/>
        <v/>
      </c>
    </row>
    <row r="5223" spans="12:12" x14ac:dyDescent="0.2">
      <c r="L5223" t="str">
        <f t="shared" si="82"/>
        <v/>
      </c>
    </row>
    <row r="5224" spans="12:12" x14ac:dyDescent="0.2">
      <c r="L5224" t="str">
        <f t="shared" si="82"/>
        <v/>
      </c>
    </row>
    <row r="5225" spans="12:12" x14ac:dyDescent="0.2">
      <c r="L5225" t="str">
        <f t="shared" si="82"/>
        <v/>
      </c>
    </row>
    <row r="5226" spans="12:12" x14ac:dyDescent="0.2">
      <c r="L5226" t="str">
        <f t="shared" si="82"/>
        <v/>
      </c>
    </row>
    <row r="5227" spans="12:12" x14ac:dyDescent="0.2">
      <c r="L5227" t="str">
        <f t="shared" si="82"/>
        <v/>
      </c>
    </row>
    <row r="5228" spans="12:12" x14ac:dyDescent="0.2">
      <c r="L5228" t="str">
        <f t="shared" si="82"/>
        <v/>
      </c>
    </row>
    <row r="5229" spans="12:12" x14ac:dyDescent="0.2">
      <c r="L5229" t="str">
        <f t="shared" si="82"/>
        <v/>
      </c>
    </row>
    <row r="5230" spans="12:12" x14ac:dyDescent="0.2">
      <c r="L5230" t="str">
        <f t="shared" si="82"/>
        <v/>
      </c>
    </row>
    <row r="5231" spans="12:12" x14ac:dyDescent="0.2">
      <c r="L5231" t="str">
        <f t="shared" si="82"/>
        <v/>
      </c>
    </row>
    <row r="5232" spans="12:12" x14ac:dyDescent="0.2">
      <c r="L5232" t="str">
        <f t="shared" si="82"/>
        <v/>
      </c>
    </row>
    <row r="5233" spans="12:12" x14ac:dyDescent="0.2">
      <c r="L5233" t="str">
        <f t="shared" si="82"/>
        <v/>
      </c>
    </row>
    <row r="5234" spans="12:12" x14ac:dyDescent="0.2">
      <c r="L5234" t="str">
        <f t="shared" si="82"/>
        <v/>
      </c>
    </row>
    <row r="5235" spans="12:12" x14ac:dyDescent="0.2">
      <c r="L5235" t="str">
        <f t="shared" si="82"/>
        <v/>
      </c>
    </row>
    <row r="5236" spans="12:12" x14ac:dyDescent="0.2">
      <c r="L5236" t="str">
        <f t="shared" si="82"/>
        <v/>
      </c>
    </row>
    <row r="5237" spans="12:12" x14ac:dyDescent="0.2">
      <c r="L5237" t="str">
        <f t="shared" si="82"/>
        <v/>
      </c>
    </row>
    <row r="5238" spans="12:12" x14ac:dyDescent="0.2">
      <c r="L5238" t="str">
        <f t="shared" si="82"/>
        <v/>
      </c>
    </row>
    <row r="5239" spans="12:12" x14ac:dyDescent="0.2">
      <c r="L5239" t="str">
        <f t="shared" si="82"/>
        <v/>
      </c>
    </row>
    <row r="5240" spans="12:12" x14ac:dyDescent="0.2">
      <c r="L5240" t="str">
        <f t="shared" si="82"/>
        <v/>
      </c>
    </row>
    <row r="5241" spans="12:12" x14ac:dyDescent="0.2">
      <c r="L5241" t="str">
        <f t="shared" si="82"/>
        <v/>
      </c>
    </row>
    <row r="5242" spans="12:12" x14ac:dyDescent="0.2">
      <c r="L5242" t="str">
        <f t="shared" si="82"/>
        <v/>
      </c>
    </row>
    <row r="5243" spans="12:12" x14ac:dyDescent="0.2">
      <c r="L5243" t="str">
        <f t="shared" si="82"/>
        <v/>
      </c>
    </row>
    <row r="5244" spans="12:12" x14ac:dyDescent="0.2">
      <c r="L5244" t="str">
        <f t="shared" si="82"/>
        <v/>
      </c>
    </row>
    <row r="5245" spans="12:12" x14ac:dyDescent="0.2">
      <c r="L5245" t="str">
        <f t="shared" si="82"/>
        <v/>
      </c>
    </row>
    <row r="5246" spans="12:12" x14ac:dyDescent="0.2">
      <c r="L5246" t="str">
        <f t="shared" si="82"/>
        <v/>
      </c>
    </row>
    <row r="5247" spans="12:12" x14ac:dyDescent="0.2">
      <c r="L5247" t="str">
        <f t="shared" si="82"/>
        <v/>
      </c>
    </row>
    <row r="5248" spans="12:12" x14ac:dyDescent="0.2">
      <c r="L5248" t="str">
        <f t="shared" si="82"/>
        <v/>
      </c>
    </row>
    <row r="5249" spans="12:12" x14ac:dyDescent="0.2">
      <c r="L5249" t="str">
        <f t="shared" si="82"/>
        <v/>
      </c>
    </row>
    <row r="5250" spans="12:12" x14ac:dyDescent="0.2">
      <c r="L5250" t="str">
        <f t="shared" si="82"/>
        <v/>
      </c>
    </row>
    <row r="5251" spans="12:12" x14ac:dyDescent="0.2">
      <c r="L5251" t="str">
        <f t="shared" si="82"/>
        <v/>
      </c>
    </row>
    <row r="5252" spans="12:12" x14ac:dyDescent="0.2">
      <c r="L5252" t="str">
        <f t="shared" ref="L5252:L5315" si="83">IF(L5251&lt;$I$15,L5251+$I$16,"")</f>
        <v/>
      </c>
    </row>
    <row r="5253" spans="12:12" x14ac:dyDescent="0.2">
      <c r="L5253" t="str">
        <f t="shared" si="83"/>
        <v/>
      </c>
    </row>
    <row r="5254" spans="12:12" x14ac:dyDescent="0.2">
      <c r="L5254" t="str">
        <f t="shared" si="83"/>
        <v/>
      </c>
    </row>
    <row r="5255" spans="12:12" x14ac:dyDescent="0.2">
      <c r="L5255" t="str">
        <f t="shared" si="83"/>
        <v/>
      </c>
    </row>
    <row r="5256" spans="12:12" x14ac:dyDescent="0.2">
      <c r="L5256" t="str">
        <f t="shared" si="83"/>
        <v/>
      </c>
    </row>
    <row r="5257" spans="12:12" x14ac:dyDescent="0.2">
      <c r="L5257" t="str">
        <f t="shared" si="83"/>
        <v/>
      </c>
    </row>
    <row r="5258" spans="12:12" x14ac:dyDescent="0.2">
      <c r="L5258" t="str">
        <f t="shared" si="83"/>
        <v/>
      </c>
    </row>
    <row r="5259" spans="12:12" x14ac:dyDescent="0.2">
      <c r="L5259" t="str">
        <f t="shared" si="83"/>
        <v/>
      </c>
    </row>
    <row r="5260" spans="12:12" x14ac:dyDescent="0.2">
      <c r="L5260" t="str">
        <f t="shared" si="83"/>
        <v/>
      </c>
    </row>
    <row r="5261" spans="12:12" x14ac:dyDescent="0.2">
      <c r="L5261" t="str">
        <f t="shared" si="83"/>
        <v/>
      </c>
    </row>
    <row r="5262" spans="12:12" x14ac:dyDescent="0.2">
      <c r="L5262" t="str">
        <f t="shared" si="83"/>
        <v/>
      </c>
    </row>
    <row r="5263" spans="12:12" x14ac:dyDescent="0.2">
      <c r="L5263" t="str">
        <f t="shared" si="83"/>
        <v/>
      </c>
    </row>
    <row r="5264" spans="12:12" x14ac:dyDescent="0.2">
      <c r="L5264" t="str">
        <f t="shared" si="83"/>
        <v/>
      </c>
    </row>
    <row r="5265" spans="12:12" x14ac:dyDescent="0.2">
      <c r="L5265" t="str">
        <f t="shared" si="83"/>
        <v/>
      </c>
    </row>
    <row r="5266" spans="12:12" x14ac:dyDescent="0.2">
      <c r="L5266" t="str">
        <f t="shared" si="83"/>
        <v/>
      </c>
    </row>
    <row r="5267" spans="12:12" x14ac:dyDescent="0.2">
      <c r="L5267" t="str">
        <f t="shared" si="83"/>
        <v/>
      </c>
    </row>
    <row r="5268" spans="12:12" x14ac:dyDescent="0.2">
      <c r="L5268" t="str">
        <f t="shared" si="83"/>
        <v/>
      </c>
    </row>
    <row r="5269" spans="12:12" x14ac:dyDescent="0.2">
      <c r="L5269" t="str">
        <f t="shared" si="83"/>
        <v/>
      </c>
    </row>
    <row r="5270" spans="12:12" x14ac:dyDescent="0.2">
      <c r="L5270" t="str">
        <f t="shared" si="83"/>
        <v/>
      </c>
    </row>
    <row r="5271" spans="12:12" x14ac:dyDescent="0.2">
      <c r="L5271" t="str">
        <f t="shared" si="83"/>
        <v/>
      </c>
    </row>
    <row r="5272" spans="12:12" x14ac:dyDescent="0.2">
      <c r="L5272" t="str">
        <f t="shared" si="83"/>
        <v/>
      </c>
    </row>
    <row r="5273" spans="12:12" x14ac:dyDescent="0.2">
      <c r="L5273" t="str">
        <f t="shared" si="83"/>
        <v/>
      </c>
    </row>
    <row r="5274" spans="12:12" x14ac:dyDescent="0.2">
      <c r="L5274" t="str">
        <f t="shared" si="83"/>
        <v/>
      </c>
    </row>
    <row r="5275" spans="12:12" x14ac:dyDescent="0.2">
      <c r="L5275" t="str">
        <f t="shared" si="83"/>
        <v/>
      </c>
    </row>
    <row r="5276" spans="12:12" x14ac:dyDescent="0.2">
      <c r="L5276" t="str">
        <f t="shared" si="83"/>
        <v/>
      </c>
    </row>
    <row r="5277" spans="12:12" x14ac:dyDescent="0.2">
      <c r="L5277" t="str">
        <f t="shared" si="83"/>
        <v/>
      </c>
    </row>
    <row r="5278" spans="12:12" x14ac:dyDescent="0.2">
      <c r="L5278" t="str">
        <f t="shared" si="83"/>
        <v/>
      </c>
    </row>
    <row r="5279" spans="12:12" x14ac:dyDescent="0.2">
      <c r="L5279" t="str">
        <f t="shared" si="83"/>
        <v/>
      </c>
    </row>
    <row r="5280" spans="12:12" x14ac:dyDescent="0.2">
      <c r="L5280" t="str">
        <f t="shared" si="83"/>
        <v/>
      </c>
    </row>
    <row r="5281" spans="12:12" x14ac:dyDescent="0.2">
      <c r="L5281" t="str">
        <f t="shared" si="83"/>
        <v/>
      </c>
    </row>
    <row r="5282" spans="12:12" x14ac:dyDescent="0.2">
      <c r="L5282" t="str">
        <f t="shared" si="83"/>
        <v/>
      </c>
    </row>
    <row r="5283" spans="12:12" x14ac:dyDescent="0.2">
      <c r="L5283" t="str">
        <f t="shared" si="83"/>
        <v/>
      </c>
    </row>
    <row r="5284" spans="12:12" x14ac:dyDescent="0.2">
      <c r="L5284" t="str">
        <f t="shared" si="83"/>
        <v/>
      </c>
    </row>
    <row r="5285" spans="12:12" x14ac:dyDescent="0.2">
      <c r="L5285" t="str">
        <f t="shared" si="83"/>
        <v/>
      </c>
    </row>
    <row r="5286" spans="12:12" x14ac:dyDescent="0.2">
      <c r="L5286" t="str">
        <f t="shared" si="83"/>
        <v/>
      </c>
    </row>
    <row r="5287" spans="12:12" x14ac:dyDescent="0.2">
      <c r="L5287" t="str">
        <f t="shared" si="83"/>
        <v/>
      </c>
    </row>
    <row r="5288" spans="12:12" x14ac:dyDescent="0.2">
      <c r="L5288" t="str">
        <f t="shared" si="83"/>
        <v/>
      </c>
    </row>
    <row r="5289" spans="12:12" x14ac:dyDescent="0.2">
      <c r="L5289" t="str">
        <f t="shared" si="83"/>
        <v/>
      </c>
    </row>
    <row r="5290" spans="12:12" x14ac:dyDescent="0.2">
      <c r="L5290" t="str">
        <f t="shared" si="83"/>
        <v/>
      </c>
    </row>
    <row r="5291" spans="12:12" x14ac:dyDescent="0.2">
      <c r="L5291" t="str">
        <f t="shared" si="83"/>
        <v/>
      </c>
    </row>
    <row r="5292" spans="12:12" x14ac:dyDescent="0.2">
      <c r="L5292" t="str">
        <f t="shared" si="83"/>
        <v/>
      </c>
    </row>
    <row r="5293" spans="12:12" x14ac:dyDescent="0.2">
      <c r="L5293" t="str">
        <f t="shared" si="83"/>
        <v/>
      </c>
    </row>
    <row r="5294" spans="12:12" x14ac:dyDescent="0.2">
      <c r="L5294" t="str">
        <f t="shared" si="83"/>
        <v/>
      </c>
    </row>
    <row r="5295" spans="12:12" x14ac:dyDescent="0.2">
      <c r="L5295" t="str">
        <f t="shared" si="83"/>
        <v/>
      </c>
    </row>
    <row r="5296" spans="12:12" x14ac:dyDescent="0.2">
      <c r="L5296" t="str">
        <f t="shared" si="83"/>
        <v/>
      </c>
    </row>
    <row r="5297" spans="12:12" x14ac:dyDescent="0.2">
      <c r="L5297" t="str">
        <f t="shared" si="83"/>
        <v/>
      </c>
    </row>
    <row r="5298" spans="12:12" x14ac:dyDescent="0.2">
      <c r="L5298" t="str">
        <f t="shared" si="83"/>
        <v/>
      </c>
    </row>
    <row r="5299" spans="12:12" x14ac:dyDescent="0.2">
      <c r="L5299" t="str">
        <f t="shared" si="83"/>
        <v/>
      </c>
    </row>
    <row r="5300" spans="12:12" x14ac:dyDescent="0.2">
      <c r="L5300" t="str">
        <f t="shared" si="83"/>
        <v/>
      </c>
    </row>
    <row r="5301" spans="12:12" x14ac:dyDescent="0.2">
      <c r="L5301" t="str">
        <f t="shared" si="83"/>
        <v/>
      </c>
    </row>
    <row r="5302" spans="12:12" x14ac:dyDescent="0.2">
      <c r="L5302" t="str">
        <f t="shared" si="83"/>
        <v/>
      </c>
    </row>
    <row r="5303" spans="12:12" x14ac:dyDescent="0.2">
      <c r="L5303" t="str">
        <f t="shared" si="83"/>
        <v/>
      </c>
    </row>
    <row r="5304" spans="12:12" x14ac:dyDescent="0.2">
      <c r="L5304" t="str">
        <f t="shared" si="83"/>
        <v/>
      </c>
    </row>
    <row r="5305" spans="12:12" x14ac:dyDescent="0.2">
      <c r="L5305" t="str">
        <f t="shared" si="83"/>
        <v/>
      </c>
    </row>
    <row r="5306" spans="12:12" x14ac:dyDescent="0.2">
      <c r="L5306" t="str">
        <f t="shared" si="83"/>
        <v/>
      </c>
    </row>
    <row r="5307" spans="12:12" x14ac:dyDescent="0.2">
      <c r="L5307" t="str">
        <f t="shared" si="83"/>
        <v/>
      </c>
    </row>
    <row r="5308" spans="12:12" x14ac:dyDescent="0.2">
      <c r="L5308" t="str">
        <f t="shared" si="83"/>
        <v/>
      </c>
    </row>
    <row r="5309" spans="12:12" x14ac:dyDescent="0.2">
      <c r="L5309" t="str">
        <f t="shared" si="83"/>
        <v/>
      </c>
    </row>
    <row r="5310" spans="12:12" x14ac:dyDescent="0.2">
      <c r="L5310" t="str">
        <f t="shared" si="83"/>
        <v/>
      </c>
    </row>
    <row r="5311" spans="12:12" x14ac:dyDescent="0.2">
      <c r="L5311" t="str">
        <f t="shared" si="83"/>
        <v/>
      </c>
    </row>
    <row r="5312" spans="12:12" x14ac:dyDescent="0.2">
      <c r="L5312" t="str">
        <f t="shared" si="83"/>
        <v/>
      </c>
    </row>
    <row r="5313" spans="12:12" x14ac:dyDescent="0.2">
      <c r="L5313" t="str">
        <f t="shared" si="83"/>
        <v/>
      </c>
    </row>
    <row r="5314" spans="12:12" x14ac:dyDescent="0.2">
      <c r="L5314" t="str">
        <f t="shared" si="83"/>
        <v/>
      </c>
    </row>
    <row r="5315" spans="12:12" x14ac:dyDescent="0.2">
      <c r="L5315" t="str">
        <f t="shared" si="83"/>
        <v/>
      </c>
    </row>
    <row r="5316" spans="12:12" x14ac:dyDescent="0.2">
      <c r="L5316" t="str">
        <f t="shared" ref="L5316:L5330" si="84">IF(L5315&lt;$I$15,L5315+$I$16,"")</f>
        <v/>
      </c>
    </row>
    <row r="5317" spans="12:12" x14ac:dyDescent="0.2">
      <c r="L5317" t="str">
        <f t="shared" si="84"/>
        <v/>
      </c>
    </row>
    <row r="5318" spans="12:12" x14ac:dyDescent="0.2">
      <c r="L5318" t="str">
        <f t="shared" si="84"/>
        <v/>
      </c>
    </row>
    <row r="5319" spans="12:12" x14ac:dyDescent="0.2">
      <c r="L5319" t="str">
        <f t="shared" si="84"/>
        <v/>
      </c>
    </row>
    <row r="5320" spans="12:12" x14ac:dyDescent="0.2">
      <c r="L5320" t="str">
        <f t="shared" si="84"/>
        <v/>
      </c>
    </row>
    <row r="5321" spans="12:12" x14ac:dyDescent="0.2">
      <c r="L5321" t="str">
        <f t="shared" si="84"/>
        <v/>
      </c>
    </row>
    <row r="5322" spans="12:12" x14ac:dyDescent="0.2">
      <c r="L5322" t="str">
        <f t="shared" si="84"/>
        <v/>
      </c>
    </row>
    <row r="5323" spans="12:12" x14ac:dyDescent="0.2">
      <c r="L5323" t="str">
        <f t="shared" si="84"/>
        <v/>
      </c>
    </row>
    <row r="5324" spans="12:12" x14ac:dyDescent="0.2">
      <c r="L5324" t="str">
        <f t="shared" si="84"/>
        <v/>
      </c>
    </row>
    <row r="5325" spans="12:12" x14ac:dyDescent="0.2">
      <c r="L5325" t="str">
        <f t="shared" si="84"/>
        <v/>
      </c>
    </row>
    <row r="5326" spans="12:12" x14ac:dyDescent="0.2">
      <c r="L5326" t="str">
        <f t="shared" si="84"/>
        <v/>
      </c>
    </row>
    <row r="5327" spans="12:12" x14ac:dyDescent="0.2">
      <c r="L5327" t="str">
        <f t="shared" si="84"/>
        <v/>
      </c>
    </row>
    <row r="5328" spans="12:12" x14ac:dyDescent="0.2">
      <c r="L5328" t="str">
        <f t="shared" si="84"/>
        <v/>
      </c>
    </row>
    <row r="5329" spans="12:12" x14ac:dyDescent="0.2">
      <c r="L5329" t="str">
        <f t="shared" si="84"/>
        <v/>
      </c>
    </row>
    <row r="5330" spans="12:12" x14ac:dyDescent="0.2">
      <c r="L5330" t="str">
        <f t="shared" si="84"/>
        <v/>
      </c>
    </row>
  </sheetData>
  <mergeCells count="2">
    <mergeCell ref="B1:F1"/>
    <mergeCell ref="H11:I11"/>
  </mergeCells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34DC8-6B30-0F40-BD1F-0DF0FDAFBEF9}">
  <dimension ref="A1:AB50"/>
  <sheetViews>
    <sheetView zoomScale="118" workbookViewId="0">
      <selection activeCell="D31" sqref="D31"/>
    </sheetView>
  </sheetViews>
  <sheetFormatPr baseColWidth="10" defaultRowHeight="16" x14ac:dyDescent="0.2"/>
  <cols>
    <col min="1" max="2" width="10.83203125" style="20"/>
    <col min="3" max="3" width="12.83203125" style="20" customWidth="1"/>
    <col min="4" max="4" width="18.83203125" style="20" customWidth="1"/>
    <col min="5" max="5" width="12.83203125" style="20" bestFit="1" customWidth="1"/>
    <col min="6" max="7" width="10.83203125" style="20" bestFit="1"/>
    <col min="8" max="8" width="11" style="20" customWidth="1"/>
    <col min="9" max="9" width="29" style="20" customWidth="1"/>
    <col min="10" max="10" width="9.83203125" style="20" customWidth="1"/>
    <col min="11" max="11" width="12.33203125" style="20" customWidth="1"/>
    <col min="12" max="12" width="17.5" style="20" customWidth="1"/>
    <col min="13" max="13" width="27.83203125" style="20" customWidth="1"/>
    <col min="14" max="14" width="12.1640625" style="20" customWidth="1"/>
    <col min="15" max="15" width="19" style="20" customWidth="1"/>
    <col min="16" max="16" width="27.5" style="20" customWidth="1"/>
    <col min="17" max="17" width="12.5" style="20" customWidth="1"/>
    <col min="18" max="18" width="30.5" style="20" customWidth="1"/>
    <col min="19" max="19" width="30" style="20" customWidth="1"/>
    <col min="20" max="20" width="10.83203125" style="20" bestFit="1"/>
    <col min="21" max="21" width="29.33203125" style="20" customWidth="1"/>
    <col min="22" max="22" width="32.1640625" style="20" customWidth="1"/>
    <col min="23" max="23" width="10.83203125" style="20" bestFit="1"/>
    <col min="24" max="24" width="19.6640625" style="20" customWidth="1"/>
    <col min="25" max="25" width="23.33203125" style="20" customWidth="1"/>
    <col min="26" max="26" width="10.83203125" style="20" bestFit="1"/>
    <col min="27" max="27" width="19" style="20" customWidth="1"/>
    <col min="28" max="28" width="25.5" style="20" customWidth="1"/>
    <col min="29" max="16384" width="10.83203125" style="20"/>
  </cols>
  <sheetData>
    <row r="1" spans="1:28" ht="28" thickBot="1" x14ac:dyDescent="0.4">
      <c r="A1" s="124" t="s">
        <v>48</v>
      </c>
      <c r="B1" s="125"/>
      <c r="C1" s="125"/>
      <c r="D1" s="126"/>
      <c r="R1" s="21" t="s">
        <v>49</v>
      </c>
    </row>
    <row r="2" spans="1:28" ht="17" thickBot="1" x14ac:dyDescent="0.25"/>
    <row r="3" spans="1:28" ht="17" thickBot="1" x14ac:dyDescent="0.25">
      <c r="A3" s="132" t="s">
        <v>50</v>
      </c>
      <c r="B3" s="141"/>
      <c r="C3" s="141"/>
      <c r="D3" s="123"/>
      <c r="E3" s="93" t="s">
        <v>51</v>
      </c>
      <c r="G3" s="132" t="s">
        <v>52</v>
      </c>
      <c r="H3" s="141"/>
      <c r="I3" s="123"/>
      <c r="J3" s="22"/>
      <c r="K3" s="132" t="s">
        <v>53</v>
      </c>
      <c r="L3" s="141"/>
      <c r="M3" s="123"/>
      <c r="N3" s="22"/>
      <c r="O3" s="132" t="s">
        <v>54</v>
      </c>
      <c r="P3" s="123"/>
      <c r="Q3" s="23"/>
      <c r="R3" s="122" t="s">
        <v>55</v>
      </c>
      <c r="S3" s="123"/>
      <c r="U3" s="122" t="s">
        <v>56</v>
      </c>
      <c r="V3" s="123"/>
      <c r="X3" s="132" t="s">
        <v>57</v>
      </c>
      <c r="Y3" s="123"/>
      <c r="AA3" s="122" t="s">
        <v>58</v>
      </c>
      <c r="AB3" s="133"/>
    </row>
    <row r="4" spans="1:28" x14ac:dyDescent="0.2">
      <c r="A4" s="127" t="s">
        <v>59</v>
      </c>
      <c r="B4" s="128"/>
      <c r="C4" s="129"/>
      <c r="D4" s="24">
        <v>1.01E-2</v>
      </c>
      <c r="E4" s="25">
        <v>100000000</v>
      </c>
      <c r="G4" s="134" t="s">
        <v>60</v>
      </c>
      <c r="H4" s="135"/>
      <c r="I4" s="26">
        <f>I5*EXP(I6*(I7-I8))</f>
        <v>331.55127542269429</v>
      </c>
      <c r="J4" s="27"/>
      <c r="K4" s="134" t="s">
        <v>60</v>
      </c>
      <c r="L4" s="135"/>
      <c r="M4" s="28">
        <f>M5*EXP(M6*(M7-M8))</f>
        <v>564.36854905805649</v>
      </c>
      <c r="N4" s="27"/>
      <c r="O4" s="29" t="s">
        <v>61</v>
      </c>
      <c r="P4" s="30">
        <v>0.1</v>
      </c>
      <c r="Q4" s="27"/>
      <c r="R4" s="31" t="s">
        <v>62</v>
      </c>
      <c r="S4" s="26">
        <f>(S6*(S9-S7)-S5*(S9-S8))/(S8-S7)</f>
        <v>3.0500000000000007</v>
      </c>
      <c r="U4" s="32" t="s">
        <v>63</v>
      </c>
      <c r="V4" s="33">
        <v>5</v>
      </c>
      <c r="X4" s="34" t="s">
        <v>64</v>
      </c>
      <c r="Y4" s="33">
        <v>3330</v>
      </c>
      <c r="AA4" s="35" t="s">
        <v>65</v>
      </c>
      <c r="AB4" s="36">
        <f>AB5*EXP(AB6*(AB7-AB8))</f>
        <v>3249.861203024876</v>
      </c>
    </row>
    <row r="5" spans="1:28" x14ac:dyDescent="0.2">
      <c r="A5" s="136" t="s">
        <v>66</v>
      </c>
      <c r="B5" s="137"/>
      <c r="C5" s="138"/>
      <c r="D5" s="37">
        <v>8.9999999999999993E-3</v>
      </c>
      <c r="E5" s="38">
        <v>100000000</v>
      </c>
      <c r="G5" s="139" t="s">
        <v>67</v>
      </c>
      <c r="H5" s="140"/>
      <c r="I5" s="39">
        <v>300</v>
      </c>
      <c r="J5" s="27"/>
      <c r="K5" s="139" t="s">
        <v>67</v>
      </c>
      <c r="L5" s="140"/>
      <c r="M5" s="40">
        <v>500.55</v>
      </c>
      <c r="N5" s="27"/>
      <c r="O5" s="41" t="s">
        <v>68</v>
      </c>
      <c r="P5" s="39">
        <v>3</v>
      </c>
      <c r="Q5" s="27"/>
      <c r="R5" s="42" t="s">
        <v>69</v>
      </c>
      <c r="S5" s="39">
        <v>0.05</v>
      </c>
      <c r="U5" s="43" t="s">
        <v>70</v>
      </c>
      <c r="V5" s="44">
        <f>9/12</f>
        <v>0.75</v>
      </c>
      <c r="X5" s="43" t="s">
        <v>62</v>
      </c>
      <c r="Y5" s="44">
        <v>0.04</v>
      </c>
      <c r="AA5" s="43" t="s">
        <v>71</v>
      </c>
      <c r="AB5" s="44">
        <v>3000</v>
      </c>
    </row>
    <row r="6" spans="1:28" ht="17" thickBot="1" x14ac:dyDescent="0.25">
      <c r="A6" s="142" t="s">
        <v>72</v>
      </c>
      <c r="B6" s="143"/>
      <c r="C6" s="144"/>
      <c r="D6" s="45">
        <f>((E4*D4)-(E5*D5))/E6</f>
        <v>110000.00000000012</v>
      </c>
      <c r="E6" s="46">
        <v>1</v>
      </c>
      <c r="G6" s="145" t="s">
        <v>61</v>
      </c>
      <c r="H6" s="146"/>
      <c r="I6" s="30">
        <v>0.1</v>
      </c>
      <c r="K6" s="145" t="s">
        <v>73</v>
      </c>
      <c r="L6" s="146"/>
      <c r="M6" s="47">
        <v>0.04</v>
      </c>
      <c r="O6" s="48" t="s">
        <v>74</v>
      </c>
      <c r="P6" s="49">
        <v>0</v>
      </c>
      <c r="R6" s="50" t="s">
        <v>75</v>
      </c>
      <c r="S6" s="30">
        <v>0.8</v>
      </c>
      <c r="U6" s="34" t="s">
        <v>76</v>
      </c>
      <c r="V6" s="33">
        <v>0</v>
      </c>
      <c r="X6" s="34" t="s">
        <v>70</v>
      </c>
      <c r="Y6" s="33">
        <v>0.7</v>
      </c>
      <c r="AA6" s="34" t="s">
        <v>69</v>
      </c>
      <c r="AB6" s="33">
        <v>0.08</v>
      </c>
    </row>
    <row r="7" spans="1:28" ht="17" thickBot="1" x14ac:dyDescent="0.25">
      <c r="D7" s="51"/>
      <c r="E7" s="52"/>
      <c r="G7" s="139" t="s">
        <v>68</v>
      </c>
      <c r="H7" s="140"/>
      <c r="I7" s="39">
        <v>1</v>
      </c>
      <c r="J7" s="27"/>
      <c r="K7" s="139" t="s">
        <v>68</v>
      </c>
      <c r="L7" s="140"/>
      <c r="M7" s="40">
        <v>3</v>
      </c>
      <c r="N7" s="27"/>
      <c r="P7" s="53"/>
      <c r="Q7" s="27"/>
      <c r="R7" s="42" t="s">
        <v>76</v>
      </c>
      <c r="S7" s="39">
        <v>0</v>
      </c>
      <c r="U7" s="43" t="s">
        <v>62</v>
      </c>
      <c r="V7" s="44">
        <v>7.8E-2</v>
      </c>
      <c r="X7" s="43" t="s">
        <v>76</v>
      </c>
      <c r="Y7" s="44">
        <v>0</v>
      </c>
      <c r="AA7" s="43" t="s">
        <v>77</v>
      </c>
      <c r="AB7" s="44">
        <v>3</v>
      </c>
    </row>
    <row r="8" spans="1:28" ht="17" thickBot="1" x14ac:dyDescent="0.25">
      <c r="A8" s="127" t="s">
        <v>59</v>
      </c>
      <c r="B8" s="128"/>
      <c r="C8" s="129"/>
      <c r="D8" s="24">
        <v>100</v>
      </c>
      <c r="E8" s="54">
        <v>1</v>
      </c>
      <c r="G8" s="130" t="s">
        <v>74</v>
      </c>
      <c r="H8" s="131"/>
      <c r="I8" s="49">
        <v>0</v>
      </c>
      <c r="J8" s="27"/>
      <c r="K8" s="130" t="s">
        <v>74</v>
      </c>
      <c r="L8" s="131"/>
      <c r="M8" s="55">
        <v>0</v>
      </c>
      <c r="N8" s="27"/>
      <c r="O8" s="56" t="s">
        <v>60</v>
      </c>
      <c r="P8" s="57">
        <f>P9/P10</f>
        <v>674.92940378800154</v>
      </c>
      <c r="Q8" s="27"/>
      <c r="R8" s="50" t="s">
        <v>70</v>
      </c>
      <c r="S8" s="30">
        <f>9/12</f>
        <v>0.75</v>
      </c>
      <c r="U8" s="58" t="s">
        <v>78</v>
      </c>
      <c r="V8" s="59">
        <f>V4*EXP(-V7*(V5-V6))</f>
        <v>4.7158912019983328</v>
      </c>
      <c r="X8" s="34" t="s">
        <v>79</v>
      </c>
      <c r="Y8" s="33">
        <v>70</v>
      </c>
      <c r="AA8" s="60" t="s">
        <v>70</v>
      </c>
      <c r="AB8" s="61">
        <v>2</v>
      </c>
    </row>
    <row r="9" spans="1:28" ht="17" thickBot="1" x14ac:dyDescent="0.25">
      <c r="A9" s="147" t="s">
        <v>66</v>
      </c>
      <c r="B9" s="148"/>
      <c r="C9" s="149"/>
      <c r="D9" s="62">
        <f>((E8*D8)-(E10*D10))/E9</f>
        <v>60</v>
      </c>
      <c r="E9" s="63">
        <v>1</v>
      </c>
      <c r="I9" s="64"/>
      <c r="M9" s="53"/>
      <c r="O9" s="41" t="s">
        <v>67</v>
      </c>
      <c r="P9" s="39">
        <v>500</v>
      </c>
      <c r="R9" s="65" t="s">
        <v>77</v>
      </c>
      <c r="S9" s="66">
        <v>3</v>
      </c>
      <c r="X9" s="67" t="s">
        <v>71</v>
      </c>
      <c r="Y9" s="68">
        <f>Y4*EXP(Y5*(Y6-Y7))-Y8</f>
        <v>3354.5576291233456</v>
      </c>
    </row>
    <row r="10" spans="1:28" ht="17" thickBot="1" x14ac:dyDescent="0.25">
      <c r="A10" s="150" t="s">
        <v>72</v>
      </c>
      <c r="B10" s="151"/>
      <c r="C10" s="152"/>
      <c r="D10" s="69">
        <v>40</v>
      </c>
      <c r="E10" s="70">
        <v>1</v>
      </c>
      <c r="G10" s="153" t="s">
        <v>60</v>
      </c>
      <c r="H10" s="154"/>
      <c r="I10" s="71">
        <v>500</v>
      </c>
      <c r="K10" s="153" t="s">
        <v>60</v>
      </c>
      <c r="L10" s="154"/>
      <c r="M10" s="72">
        <v>500</v>
      </c>
      <c r="O10" s="48" t="s">
        <v>80</v>
      </c>
      <c r="P10" s="49">
        <f>EXP(-P4*(P5-P6))</f>
        <v>0.74081822068171788</v>
      </c>
      <c r="S10" s="53"/>
      <c r="U10" s="35" t="s">
        <v>81</v>
      </c>
      <c r="V10" s="36">
        <f>(V11-V12)*EXP(V13*(V14-V15))</f>
        <v>178.50849401921857</v>
      </c>
      <c r="AA10" s="32" t="s">
        <v>65</v>
      </c>
      <c r="AB10" s="73">
        <v>3300</v>
      </c>
    </row>
    <row r="11" spans="1:28" ht="17" thickBot="1" x14ac:dyDescent="0.25">
      <c r="D11" s="51"/>
      <c r="E11" s="52"/>
      <c r="G11" s="155" t="s">
        <v>67</v>
      </c>
      <c r="H11" s="156"/>
      <c r="I11" s="74">
        <f>I10/(EXP(I12*(I13-I14)))</f>
        <v>430.35398821252892</v>
      </c>
      <c r="K11" s="155" t="s">
        <v>67</v>
      </c>
      <c r="L11" s="156"/>
      <c r="M11" s="75">
        <f>M10/(EXP(M12*(M13-M14)))</f>
        <v>430.35398821252892</v>
      </c>
      <c r="P11" s="53"/>
      <c r="R11" s="76" t="s">
        <v>62</v>
      </c>
      <c r="S11" s="71">
        <v>7.8E-2</v>
      </c>
      <c r="U11" s="43" t="s">
        <v>64</v>
      </c>
      <c r="V11" s="44">
        <v>169.5</v>
      </c>
      <c r="X11" s="35" t="s">
        <v>64</v>
      </c>
      <c r="Y11" s="36">
        <f>(Y16+Y15)/EXP(Y12*(Y13-Y14))</f>
        <v>2985.2322860798281</v>
      </c>
      <c r="AA11" s="77" t="s">
        <v>71</v>
      </c>
      <c r="AB11" s="78">
        <f>AB10/EXP(AB12*(AB13-AB14))</f>
        <v>3046.2839430758977</v>
      </c>
    </row>
    <row r="12" spans="1:28" x14ac:dyDescent="0.2">
      <c r="A12" s="157" t="s">
        <v>59</v>
      </c>
      <c r="B12" s="158"/>
      <c r="C12" s="159"/>
      <c r="D12" s="79">
        <f>((E13*D13)+(E14*D14))/E12</f>
        <v>190</v>
      </c>
      <c r="E12" s="54">
        <v>1</v>
      </c>
      <c r="G12" s="145" t="s">
        <v>61</v>
      </c>
      <c r="H12" s="146"/>
      <c r="I12" s="30">
        <v>0.05</v>
      </c>
      <c r="K12" s="145" t="s">
        <v>73</v>
      </c>
      <c r="L12" s="146"/>
      <c r="M12" s="47">
        <v>0.05</v>
      </c>
      <c r="O12" s="29" t="s">
        <v>60</v>
      </c>
      <c r="P12" s="71">
        <v>500.55</v>
      </c>
      <c r="R12" s="80" t="s">
        <v>69</v>
      </c>
      <c r="S12" s="74">
        <f>(S13*(S16-S14)-S11*(S15-S14))/(S16-S15)</f>
        <v>8.6000000000000021E-2</v>
      </c>
      <c r="U12" s="34" t="s">
        <v>78</v>
      </c>
      <c r="V12" s="33">
        <f>V8</f>
        <v>4.7158912019983328</v>
      </c>
      <c r="X12" s="43" t="s">
        <v>62</v>
      </c>
      <c r="Y12" s="44">
        <v>0.04</v>
      </c>
      <c r="AA12" s="34" t="s">
        <v>69</v>
      </c>
      <c r="AB12" s="33">
        <v>0.08</v>
      </c>
    </row>
    <row r="13" spans="1:28" x14ac:dyDescent="0.2">
      <c r="A13" s="136" t="s">
        <v>66</v>
      </c>
      <c r="B13" s="137"/>
      <c r="C13" s="138"/>
      <c r="D13" s="37">
        <v>140</v>
      </c>
      <c r="E13" s="63">
        <v>1</v>
      </c>
      <c r="G13" s="139" t="s">
        <v>68</v>
      </c>
      <c r="H13" s="140"/>
      <c r="I13" s="39">
        <v>3</v>
      </c>
      <c r="K13" s="139" t="s">
        <v>68</v>
      </c>
      <c r="L13" s="140"/>
      <c r="M13" s="40">
        <v>3</v>
      </c>
      <c r="O13" s="81" t="s">
        <v>67</v>
      </c>
      <c r="P13" s="74">
        <f>P12*P14</f>
        <v>370.81656036223387</v>
      </c>
      <c r="R13" s="50" t="s">
        <v>75</v>
      </c>
      <c r="S13" s="30">
        <v>0.08</v>
      </c>
      <c r="U13" s="43" t="s">
        <v>75</v>
      </c>
      <c r="V13" s="44">
        <v>0.08</v>
      </c>
      <c r="X13" s="34" t="s">
        <v>70</v>
      </c>
      <c r="Y13" s="33">
        <v>0.7</v>
      </c>
      <c r="AA13" s="43" t="s">
        <v>77</v>
      </c>
      <c r="AB13" s="44">
        <v>3</v>
      </c>
    </row>
    <row r="14" spans="1:28" ht="17" thickBot="1" x14ac:dyDescent="0.25">
      <c r="A14" s="150" t="s">
        <v>72</v>
      </c>
      <c r="B14" s="151"/>
      <c r="C14" s="152"/>
      <c r="D14" s="69">
        <v>50</v>
      </c>
      <c r="E14" s="70">
        <v>1</v>
      </c>
      <c r="G14" s="130" t="s">
        <v>74</v>
      </c>
      <c r="H14" s="131"/>
      <c r="I14" s="49">
        <v>0</v>
      </c>
      <c r="K14" s="130" t="s">
        <v>74</v>
      </c>
      <c r="L14" s="131"/>
      <c r="M14" s="55">
        <v>0</v>
      </c>
      <c r="O14" s="48" t="s">
        <v>80</v>
      </c>
      <c r="P14" s="49">
        <f>EXP(-P4*(P5-P6))</f>
        <v>0.74081822068171788</v>
      </c>
      <c r="R14" s="42" t="s">
        <v>76</v>
      </c>
      <c r="S14" s="39">
        <v>0</v>
      </c>
      <c r="U14" s="34" t="s">
        <v>77</v>
      </c>
      <c r="V14" s="33">
        <v>1</v>
      </c>
      <c r="X14" s="43" t="s">
        <v>76</v>
      </c>
      <c r="Y14" s="44">
        <v>0</v>
      </c>
      <c r="AA14" s="60" t="s">
        <v>70</v>
      </c>
      <c r="AB14" s="61">
        <v>2</v>
      </c>
    </row>
    <row r="15" spans="1:28" ht="17" thickBot="1" x14ac:dyDescent="0.25">
      <c r="I15" s="64"/>
      <c r="M15" s="53"/>
      <c r="P15" s="53"/>
      <c r="R15" s="50" t="s">
        <v>70</v>
      </c>
      <c r="S15" s="30">
        <f>9/12</f>
        <v>0.75</v>
      </c>
      <c r="U15" s="82" t="s">
        <v>76</v>
      </c>
      <c r="V15" s="83">
        <v>0</v>
      </c>
      <c r="X15" s="34" t="s">
        <v>79</v>
      </c>
      <c r="Y15" s="33">
        <v>70</v>
      </c>
    </row>
    <row r="16" spans="1:28" ht="17" thickBot="1" x14ac:dyDescent="0.25">
      <c r="G16" s="153" t="s">
        <v>60</v>
      </c>
      <c r="H16" s="154"/>
      <c r="I16" s="71">
        <v>745.66600000000005</v>
      </c>
      <c r="K16" s="153" t="s">
        <v>60</v>
      </c>
      <c r="L16" s="154"/>
      <c r="M16" s="72">
        <v>745.66600000000005</v>
      </c>
      <c r="O16" s="29" t="s">
        <v>60</v>
      </c>
      <c r="P16" s="71">
        <v>460</v>
      </c>
      <c r="R16" s="65" t="s">
        <v>77</v>
      </c>
      <c r="S16" s="66">
        <v>1</v>
      </c>
      <c r="X16" s="82" t="s">
        <v>71</v>
      </c>
      <c r="Y16" s="84">
        <v>3000</v>
      </c>
      <c r="AA16" s="32" t="s">
        <v>65</v>
      </c>
      <c r="AB16" s="73">
        <v>3300</v>
      </c>
    </row>
    <row r="17" spans="7:28" ht="17" thickBot="1" x14ac:dyDescent="0.25">
      <c r="G17" s="139" t="s">
        <v>67</v>
      </c>
      <c r="H17" s="140"/>
      <c r="I17" s="39">
        <v>540</v>
      </c>
      <c r="K17" s="139" t="s">
        <v>67</v>
      </c>
      <c r="L17" s="140"/>
      <c r="M17" s="40">
        <v>540</v>
      </c>
      <c r="O17" s="41" t="s">
        <v>67</v>
      </c>
      <c r="P17" s="39">
        <v>450.55</v>
      </c>
      <c r="S17" s="53"/>
      <c r="U17" s="32" t="s">
        <v>81</v>
      </c>
      <c r="V17" s="73">
        <v>1234</v>
      </c>
      <c r="AA17" s="43" t="s">
        <v>71</v>
      </c>
      <c r="AB17" s="44">
        <v>3050</v>
      </c>
    </row>
    <row r="18" spans="7:28" ht="17" thickBot="1" x14ac:dyDescent="0.25">
      <c r="G18" s="160" t="s">
        <v>61</v>
      </c>
      <c r="H18" s="161"/>
      <c r="I18" s="26">
        <f>LN(I16/I17)/(I19-I20)</f>
        <v>0.10756954640292095</v>
      </c>
      <c r="K18" s="160" t="s">
        <v>73</v>
      </c>
      <c r="L18" s="161"/>
      <c r="M18" s="28">
        <f>LN(M16/M17)/(M19-M20)</f>
        <v>0.10756954640292095</v>
      </c>
      <c r="O18" s="85" t="s">
        <v>80</v>
      </c>
      <c r="P18" s="86">
        <f>P17/P16</f>
        <v>0.97945652173913045</v>
      </c>
      <c r="R18" s="76" t="s">
        <v>62</v>
      </c>
      <c r="S18" s="71">
        <v>0.55000000000000004</v>
      </c>
      <c r="U18" s="77" t="s">
        <v>64</v>
      </c>
      <c r="V18" s="78">
        <f>(V17/EXP(V20*(V21-V22)))+V19</f>
        <v>1190.5739737639401</v>
      </c>
      <c r="X18" s="32" t="s">
        <v>64</v>
      </c>
      <c r="Y18" s="73">
        <v>3000</v>
      </c>
      <c r="AA18" s="87" t="s">
        <v>69</v>
      </c>
      <c r="AB18" s="88">
        <f>LN(AB16/AB17)/AB19-AB20</f>
        <v>-1.9737397073822951</v>
      </c>
    </row>
    <row r="19" spans="7:28" x14ac:dyDescent="0.2">
      <c r="G19" s="139" t="s">
        <v>68</v>
      </c>
      <c r="H19" s="140"/>
      <c r="I19" s="39">
        <v>3</v>
      </c>
      <c r="K19" s="139" t="s">
        <v>68</v>
      </c>
      <c r="L19" s="140"/>
      <c r="M19" s="40">
        <v>3</v>
      </c>
      <c r="R19" s="42" t="s">
        <v>69</v>
      </c>
      <c r="S19" s="39">
        <v>0.76</v>
      </c>
      <c r="U19" s="34" t="s">
        <v>78</v>
      </c>
      <c r="V19" s="33">
        <v>40</v>
      </c>
      <c r="X19" s="43" t="s">
        <v>62</v>
      </c>
      <c r="Y19" s="44">
        <v>0.04</v>
      </c>
      <c r="AA19" s="43" t="s">
        <v>77</v>
      </c>
      <c r="AB19" s="44">
        <v>3</v>
      </c>
    </row>
    <row r="20" spans="7:28" ht="17" thickBot="1" x14ac:dyDescent="0.25">
      <c r="G20" s="130" t="s">
        <v>74</v>
      </c>
      <c r="H20" s="131"/>
      <c r="I20" s="49">
        <v>0</v>
      </c>
      <c r="K20" s="130" t="s">
        <v>74</v>
      </c>
      <c r="L20" s="131"/>
      <c r="M20" s="55">
        <v>0</v>
      </c>
      <c r="R20" s="89" t="s">
        <v>75</v>
      </c>
      <c r="S20" s="26">
        <f>(S18*(S22-S21)+S19*(S23-S22))/(S23-S21)</f>
        <v>0.72324999999999995</v>
      </c>
      <c r="U20" s="43" t="s">
        <v>75</v>
      </c>
      <c r="V20" s="44">
        <v>7.0000000000000007E-2</v>
      </c>
      <c r="X20" s="34" t="s">
        <v>70</v>
      </c>
      <c r="Y20" s="33">
        <v>0.7</v>
      </c>
      <c r="AA20" s="60" t="s">
        <v>70</v>
      </c>
      <c r="AB20" s="61">
        <v>2</v>
      </c>
    </row>
    <row r="21" spans="7:28" ht="17" thickBot="1" x14ac:dyDescent="0.25">
      <c r="I21" s="64"/>
      <c r="M21" s="53"/>
      <c r="R21" s="42" t="s">
        <v>76</v>
      </c>
      <c r="S21" s="39">
        <v>0</v>
      </c>
      <c r="U21" s="34" t="s">
        <v>77</v>
      </c>
      <c r="V21" s="33">
        <v>3</v>
      </c>
      <c r="X21" s="43" t="s">
        <v>76</v>
      </c>
      <c r="Y21" s="44">
        <v>0</v>
      </c>
    </row>
    <row r="22" spans="7:28" ht="17" thickBot="1" x14ac:dyDescent="0.25">
      <c r="G22" s="153" t="s">
        <v>60</v>
      </c>
      <c r="H22" s="154"/>
      <c r="I22" s="71">
        <v>400.55399999999997</v>
      </c>
      <c r="K22" s="153" t="s">
        <v>60</v>
      </c>
      <c r="L22" s="154"/>
      <c r="M22" s="72">
        <v>400.55399999999997</v>
      </c>
      <c r="R22" s="50" t="s">
        <v>70</v>
      </c>
      <c r="S22" s="30">
        <v>0.7</v>
      </c>
      <c r="U22" s="82" t="s">
        <v>76</v>
      </c>
      <c r="V22" s="83">
        <v>2</v>
      </c>
      <c r="X22" s="87" t="s">
        <v>79</v>
      </c>
      <c r="Y22" s="88">
        <f>(Y18*EXP(Y19*(Y20-Y21)))-Y23</f>
        <v>85.187053264275164</v>
      </c>
      <c r="AA22" s="32" t="s">
        <v>65</v>
      </c>
      <c r="AB22" s="73">
        <v>3300</v>
      </c>
    </row>
    <row r="23" spans="7:28" ht="17" thickBot="1" x14ac:dyDescent="0.25">
      <c r="G23" s="139" t="s">
        <v>67</v>
      </c>
      <c r="H23" s="140"/>
      <c r="I23" s="39">
        <v>399</v>
      </c>
      <c r="K23" s="139" t="s">
        <v>67</v>
      </c>
      <c r="L23" s="140"/>
      <c r="M23" s="40">
        <v>399</v>
      </c>
      <c r="R23" s="65" t="s">
        <v>77</v>
      </c>
      <c r="S23" s="66">
        <v>4</v>
      </c>
      <c r="X23" s="82" t="s">
        <v>71</v>
      </c>
      <c r="Y23" s="84">
        <v>3000</v>
      </c>
      <c r="AA23" s="43" t="s">
        <v>71</v>
      </c>
      <c r="AB23" s="44">
        <v>3050</v>
      </c>
    </row>
    <row r="24" spans="7:28" ht="17" thickBot="1" x14ac:dyDescent="0.25">
      <c r="G24" s="145" t="s">
        <v>61</v>
      </c>
      <c r="H24" s="146"/>
      <c r="I24" s="30">
        <v>0.04</v>
      </c>
      <c r="K24" s="145" t="s">
        <v>73</v>
      </c>
      <c r="L24" s="146"/>
      <c r="M24" s="47">
        <v>0.04</v>
      </c>
      <c r="U24" s="32" t="s">
        <v>81</v>
      </c>
      <c r="V24" s="73">
        <v>1234</v>
      </c>
      <c r="AA24" s="34" t="s">
        <v>69</v>
      </c>
      <c r="AB24" s="33">
        <v>0.04</v>
      </c>
    </row>
    <row r="25" spans="7:28" x14ac:dyDescent="0.2">
      <c r="G25" s="155" t="s">
        <v>68</v>
      </c>
      <c r="H25" s="156"/>
      <c r="I25" s="74">
        <f>(LN(I22/I23)/I24)+I26</f>
        <v>9.7179299757002582E-2</v>
      </c>
      <c r="K25" s="155" t="s">
        <v>68</v>
      </c>
      <c r="L25" s="156"/>
      <c r="M25" s="75">
        <f>(LN(M22/M23)/M24)+M26</f>
        <v>9.7179299757002582E-2</v>
      </c>
      <c r="R25" s="27"/>
      <c r="S25" s="90"/>
      <c r="U25" s="43" t="s">
        <v>64</v>
      </c>
      <c r="V25" s="44">
        <v>1000</v>
      </c>
      <c r="X25" s="32" t="s">
        <v>64</v>
      </c>
      <c r="Y25" s="73">
        <v>3000</v>
      </c>
      <c r="AA25" s="77" t="s">
        <v>77</v>
      </c>
      <c r="AB25" s="78">
        <f>(LN(AB22/AB23)/AB24)+AB26</f>
        <v>3.9695219463278595</v>
      </c>
    </row>
    <row r="26" spans="7:28" ht="17" thickBot="1" x14ac:dyDescent="0.25">
      <c r="G26" s="130" t="s">
        <v>74</v>
      </c>
      <c r="H26" s="131"/>
      <c r="I26" s="49">
        <v>0</v>
      </c>
      <c r="K26" s="130" t="s">
        <v>74</v>
      </c>
      <c r="L26" s="131"/>
      <c r="M26" s="55">
        <v>0</v>
      </c>
      <c r="R26" s="27"/>
      <c r="S26" s="90"/>
      <c r="U26" s="87" t="s">
        <v>78</v>
      </c>
      <c r="V26" s="88">
        <f>V25-(V24/EXP(V27*(V28-V29)))</f>
        <v>-150.5739737639401</v>
      </c>
      <c r="X26" s="77" t="s">
        <v>62</v>
      </c>
      <c r="Y26" s="78">
        <f>LN((Y30+Y29)/Y25)/(Y27-Y28)</f>
        <v>3.9913383841773481E-2</v>
      </c>
      <c r="AA26" s="60" t="s">
        <v>70</v>
      </c>
      <c r="AB26" s="61">
        <v>2</v>
      </c>
    </row>
    <row r="27" spans="7:28" ht="17" thickBot="1" x14ac:dyDescent="0.25">
      <c r="I27" s="64"/>
      <c r="M27" s="53"/>
      <c r="R27" s="27"/>
      <c r="S27" s="90"/>
      <c r="U27" s="43" t="s">
        <v>75</v>
      </c>
      <c r="V27" s="44">
        <v>7.0000000000000007E-2</v>
      </c>
      <c r="X27" s="34" t="s">
        <v>70</v>
      </c>
      <c r="Y27" s="33">
        <v>0.7</v>
      </c>
    </row>
    <row r="28" spans="7:28" x14ac:dyDescent="0.2">
      <c r="G28" s="153" t="s">
        <v>60</v>
      </c>
      <c r="H28" s="154"/>
      <c r="I28" s="71">
        <v>560</v>
      </c>
      <c r="K28" s="153" t="s">
        <v>60</v>
      </c>
      <c r="L28" s="154"/>
      <c r="M28" s="72">
        <v>560</v>
      </c>
      <c r="R28" s="27"/>
      <c r="S28" s="90"/>
      <c r="U28" s="34" t="s">
        <v>77</v>
      </c>
      <c r="V28" s="33">
        <v>3</v>
      </c>
      <c r="X28" s="43" t="s">
        <v>76</v>
      </c>
      <c r="Y28" s="44">
        <v>0</v>
      </c>
      <c r="AA28" s="32" t="s">
        <v>65</v>
      </c>
      <c r="AB28" s="73">
        <v>3300</v>
      </c>
    </row>
    <row r="29" spans="7:28" ht="17" thickBot="1" x14ac:dyDescent="0.25">
      <c r="G29" s="139" t="s">
        <v>67</v>
      </c>
      <c r="H29" s="140"/>
      <c r="I29" s="39">
        <v>556.9</v>
      </c>
      <c r="K29" s="139" t="s">
        <v>67</v>
      </c>
      <c r="L29" s="140"/>
      <c r="M29" s="40">
        <v>556.9</v>
      </c>
      <c r="R29" s="27"/>
      <c r="S29" s="90"/>
      <c r="U29" s="82" t="s">
        <v>76</v>
      </c>
      <c r="V29" s="83">
        <v>2</v>
      </c>
      <c r="X29" s="34" t="s">
        <v>79</v>
      </c>
      <c r="Y29" s="33">
        <v>85</v>
      </c>
      <c r="AA29" s="43" t="s">
        <v>71</v>
      </c>
      <c r="AB29" s="44">
        <v>3050</v>
      </c>
    </row>
    <row r="30" spans="7:28" ht="17" thickBot="1" x14ac:dyDescent="0.25">
      <c r="G30" s="145" t="s">
        <v>61</v>
      </c>
      <c r="H30" s="146"/>
      <c r="I30" s="30">
        <v>0.1</v>
      </c>
      <c r="K30" s="145" t="s">
        <v>73</v>
      </c>
      <c r="L30" s="146"/>
      <c r="M30" s="47">
        <v>0.1</v>
      </c>
      <c r="R30" s="27"/>
      <c r="S30" s="90"/>
      <c r="X30" s="82" t="s">
        <v>71</v>
      </c>
      <c r="Y30" s="84">
        <v>3000</v>
      </c>
      <c r="AA30" s="34" t="s">
        <v>69</v>
      </c>
      <c r="AB30" s="33">
        <v>0.04</v>
      </c>
    </row>
    <row r="31" spans="7:28" ht="17" thickBot="1" x14ac:dyDescent="0.25">
      <c r="G31" s="139" t="s">
        <v>68</v>
      </c>
      <c r="H31" s="140"/>
      <c r="I31" s="39">
        <v>4</v>
      </c>
      <c r="K31" s="139" t="s">
        <v>68</v>
      </c>
      <c r="L31" s="140"/>
      <c r="M31" s="40">
        <v>4</v>
      </c>
      <c r="U31" s="32" t="s">
        <v>81</v>
      </c>
      <c r="V31" s="73">
        <v>1234</v>
      </c>
      <c r="AA31" s="43" t="s">
        <v>77</v>
      </c>
      <c r="AB31" s="44">
        <v>4</v>
      </c>
    </row>
    <row r="32" spans="7:28" ht="17" thickBot="1" x14ac:dyDescent="0.25">
      <c r="G32" s="164" t="s">
        <v>74</v>
      </c>
      <c r="H32" s="165"/>
      <c r="I32" s="86">
        <f>I31-(LN(I28/I29)/I30)</f>
        <v>3.9444890686642786</v>
      </c>
      <c r="K32" s="164" t="s">
        <v>74</v>
      </c>
      <c r="L32" s="165"/>
      <c r="M32" s="91">
        <f>M31-(LN(M28/M29)/M30)</f>
        <v>3.9444890686642786</v>
      </c>
      <c r="U32" s="43" t="s">
        <v>64</v>
      </c>
      <c r="V32" s="44">
        <v>1000</v>
      </c>
      <c r="X32" s="32" t="s">
        <v>64</v>
      </c>
      <c r="Y32" s="73">
        <v>3000</v>
      </c>
      <c r="AA32" s="58" t="s">
        <v>70</v>
      </c>
      <c r="AB32" s="59">
        <f>AB31-(LN(AB28/AB29)/AB30)</f>
        <v>2.0304780536721405</v>
      </c>
    </row>
    <row r="33" spans="11:25" ht="17" thickBot="1" x14ac:dyDescent="0.25">
      <c r="U33" s="34" t="s">
        <v>78</v>
      </c>
      <c r="V33" s="33">
        <v>30</v>
      </c>
      <c r="X33" s="43" t="s">
        <v>62</v>
      </c>
      <c r="Y33" s="44">
        <v>0.04</v>
      </c>
    </row>
    <row r="34" spans="11:25" ht="17" thickBot="1" x14ac:dyDescent="0.25">
      <c r="K34" s="166" t="s">
        <v>82</v>
      </c>
      <c r="L34" s="167"/>
      <c r="M34" s="168"/>
      <c r="U34" s="77" t="s">
        <v>75</v>
      </c>
      <c r="V34" s="78">
        <f>LN(V31/(V32-V33))/(V35-V36)</f>
        <v>0.24072013296790457</v>
      </c>
      <c r="X34" s="87" t="s">
        <v>70</v>
      </c>
      <c r="Y34" s="88">
        <f>(LN((Y37+Y36)/Y32)/Y33)+Y35</f>
        <v>0.69848421723103582</v>
      </c>
    </row>
    <row r="35" spans="11:25" x14ac:dyDescent="0.2">
      <c r="K35" s="153" t="s">
        <v>81</v>
      </c>
      <c r="L35" s="154"/>
      <c r="M35" s="92">
        <v>550.54999999999995</v>
      </c>
      <c r="U35" s="34" t="s">
        <v>77</v>
      </c>
      <c r="V35" s="33">
        <v>3</v>
      </c>
      <c r="X35" s="43" t="s">
        <v>76</v>
      </c>
      <c r="Y35" s="44">
        <v>0</v>
      </c>
    </row>
    <row r="36" spans="11:25" ht="17" thickBot="1" x14ac:dyDescent="0.25">
      <c r="K36" s="162" t="s">
        <v>83</v>
      </c>
      <c r="L36" s="163"/>
      <c r="M36" s="83">
        <f>M35-M4</f>
        <v>-13.818549058056533</v>
      </c>
      <c r="U36" s="82" t="s">
        <v>76</v>
      </c>
      <c r="V36" s="83">
        <v>2</v>
      </c>
      <c r="X36" s="34" t="s">
        <v>79</v>
      </c>
      <c r="Y36" s="33">
        <v>85</v>
      </c>
    </row>
    <row r="37" spans="11:25" ht="17" thickBot="1" x14ac:dyDescent="0.25">
      <c r="X37" s="82" t="s">
        <v>71</v>
      </c>
      <c r="Y37" s="84">
        <v>3000</v>
      </c>
    </row>
    <row r="38" spans="11:25" ht="17" thickBot="1" x14ac:dyDescent="0.25">
      <c r="K38" s="166" t="s">
        <v>84</v>
      </c>
      <c r="L38" s="167"/>
      <c r="M38" s="168"/>
      <c r="U38" s="32" t="s">
        <v>81</v>
      </c>
      <c r="V38" s="73">
        <v>1234</v>
      </c>
    </row>
    <row r="39" spans="11:25" x14ac:dyDescent="0.2">
      <c r="K39" s="153" t="s">
        <v>81</v>
      </c>
      <c r="L39" s="154"/>
      <c r="M39" s="92">
        <v>200</v>
      </c>
      <c r="U39" s="43" t="s">
        <v>64</v>
      </c>
      <c r="V39" s="44">
        <v>1000</v>
      </c>
      <c r="X39" s="32" t="s">
        <v>64</v>
      </c>
      <c r="Y39" s="73">
        <v>3000</v>
      </c>
    </row>
    <row r="40" spans="11:25" ht="17" thickBot="1" x14ac:dyDescent="0.25">
      <c r="K40" s="162" t="s">
        <v>85</v>
      </c>
      <c r="L40" s="163"/>
      <c r="M40" s="83">
        <f>M4-M39</f>
        <v>364.36854905805649</v>
      </c>
      <c r="U40" s="34" t="s">
        <v>78</v>
      </c>
      <c r="V40" s="33">
        <v>30</v>
      </c>
      <c r="X40" s="43" t="s">
        <v>62</v>
      </c>
      <c r="Y40" s="44">
        <v>0.04</v>
      </c>
    </row>
    <row r="41" spans="11:25" x14ac:dyDescent="0.2">
      <c r="U41" s="43" t="s">
        <v>75</v>
      </c>
      <c r="V41" s="44">
        <v>7.0000000000000007E-2</v>
      </c>
      <c r="X41" s="34" t="s">
        <v>70</v>
      </c>
      <c r="Y41" s="33">
        <v>1</v>
      </c>
    </row>
    <row r="42" spans="11:25" x14ac:dyDescent="0.2">
      <c r="U42" s="87" t="s">
        <v>77</v>
      </c>
      <c r="V42" s="88">
        <f>(LN(V38/(V39-V40))/V41)+V43</f>
        <v>5.4388590423986365</v>
      </c>
      <c r="X42" s="43" t="s">
        <v>76</v>
      </c>
      <c r="Y42" s="44">
        <f>Y41-(LN((Y44+Y43)/Y39)/Y40)</f>
        <v>0.30151578276896418</v>
      </c>
    </row>
    <row r="43" spans="11:25" ht="17" thickBot="1" x14ac:dyDescent="0.25">
      <c r="U43" s="82" t="s">
        <v>76</v>
      </c>
      <c r="V43" s="83">
        <v>2</v>
      </c>
      <c r="X43" s="34" t="s">
        <v>79</v>
      </c>
      <c r="Y43" s="33">
        <v>85</v>
      </c>
    </row>
    <row r="44" spans="11:25" ht="17" thickBot="1" x14ac:dyDescent="0.25">
      <c r="X44" s="82" t="s">
        <v>71</v>
      </c>
      <c r="Y44" s="84">
        <v>3000</v>
      </c>
    </row>
    <row r="45" spans="11:25" x14ac:dyDescent="0.2">
      <c r="U45" s="32" t="s">
        <v>81</v>
      </c>
      <c r="V45" s="73">
        <v>1234</v>
      </c>
    </row>
    <row r="46" spans="11:25" x14ac:dyDescent="0.2">
      <c r="U46" s="43" t="s">
        <v>64</v>
      </c>
      <c r="V46" s="44">
        <v>1000</v>
      </c>
    </row>
    <row r="47" spans="11:25" x14ac:dyDescent="0.2">
      <c r="U47" s="34" t="s">
        <v>78</v>
      </c>
      <c r="V47" s="33">
        <v>30</v>
      </c>
    </row>
    <row r="48" spans="11:25" x14ac:dyDescent="0.2">
      <c r="U48" s="43" t="s">
        <v>75</v>
      </c>
      <c r="V48" s="44">
        <v>7.0000000000000007E-2</v>
      </c>
    </row>
    <row r="49" spans="21:22" x14ac:dyDescent="0.2">
      <c r="U49" s="34" t="s">
        <v>77</v>
      </c>
      <c r="V49" s="33">
        <v>5</v>
      </c>
    </row>
    <row r="50" spans="21:22" ht="17" thickBot="1" x14ac:dyDescent="0.25">
      <c r="U50" s="67" t="s">
        <v>76</v>
      </c>
      <c r="V50" s="68">
        <f>V49-(LN(V45/(V46-V47))/V48)</f>
        <v>1.5611409576013635</v>
      </c>
    </row>
  </sheetData>
  <mergeCells count="74">
    <mergeCell ref="K39:L39"/>
    <mergeCell ref="K40:L40"/>
    <mergeCell ref="G32:H32"/>
    <mergeCell ref="K32:L32"/>
    <mergeCell ref="K34:M34"/>
    <mergeCell ref="K35:L35"/>
    <mergeCell ref="K36:L36"/>
    <mergeCell ref="K38:M38"/>
    <mergeCell ref="G29:H29"/>
    <mergeCell ref="K29:L29"/>
    <mergeCell ref="G30:H30"/>
    <mergeCell ref="K30:L30"/>
    <mergeCell ref="G31:H31"/>
    <mergeCell ref="K31:L31"/>
    <mergeCell ref="G25:H25"/>
    <mergeCell ref="K25:L25"/>
    <mergeCell ref="G26:H26"/>
    <mergeCell ref="K26:L26"/>
    <mergeCell ref="G28:H28"/>
    <mergeCell ref="K28:L28"/>
    <mergeCell ref="G22:H22"/>
    <mergeCell ref="K22:L22"/>
    <mergeCell ref="G23:H23"/>
    <mergeCell ref="K23:L23"/>
    <mergeCell ref="G24:H24"/>
    <mergeCell ref="K24:L24"/>
    <mergeCell ref="G18:H18"/>
    <mergeCell ref="K18:L18"/>
    <mergeCell ref="G19:H19"/>
    <mergeCell ref="K19:L19"/>
    <mergeCell ref="G20:H20"/>
    <mergeCell ref="K20:L20"/>
    <mergeCell ref="G17:H17"/>
    <mergeCell ref="K17:L17"/>
    <mergeCell ref="A12:C12"/>
    <mergeCell ref="G12:H12"/>
    <mergeCell ref="K12:L12"/>
    <mergeCell ref="A13:C13"/>
    <mergeCell ref="G13:H13"/>
    <mergeCell ref="K13:L13"/>
    <mergeCell ref="A14:C14"/>
    <mergeCell ref="G14:H14"/>
    <mergeCell ref="K14:L14"/>
    <mergeCell ref="G16:H16"/>
    <mergeCell ref="K16:L16"/>
    <mergeCell ref="A9:C9"/>
    <mergeCell ref="A10:C10"/>
    <mergeCell ref="G10:H10"/>
    <mergeCell ref="K10:L10"/>
    <mergeCell ref="G11:H11"/>
    <mergeCell ref="K11:L11"/>
    <mergeCell ref="X3:Y3"/>
    <mergeCell ref="AA3:AB3"/>
    <mergeCell ref="A4:C4"/>
    <mergeCell ref="G4:H4"/>
    <mergeCell ref="K4:L4"/>
    <mergeCell ref="A3:D3"/>
    <mergeCell ref="G3:I3"/>
    <mergeCell ref="K3:M3"/>
    <mergeCell ref="O3:P3"/>
    <mergeCell ref="R3:S3"/>
    <mergeCell ref="U3:V3"/>
    <mergeCell ref="A1:D1"/>
    <mergeCell ref="A8:C8"/>
    <mergeCell ref="G8:H8"/>
    <mergeCell ref="K8:L8"/>
    <mergeCell ref="A5:C5"/>
    <mergeCell ref="G5:H5"/>
    <mergeCell ref="K5:L5"/>
    <mergeCell ref="A6:C6"/>
    <mergeCell ref="G6:H6"/>
    <mergeCell ref="K6:L6"/>
    <mergeCell ref="G7:H7"/>
    <mergeCell ref="K7:L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HomePage</vt:lpstr>
      <vt:lpstr>Bond Pricer</vt:lpstr>
      <vt:lpstr>Q2 - Compunding</vt:lpstr>
      <vt:lpstr>Forward Plotting</vt:lpstr>
      <vt:lpstr>Futures and Forwards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Arnar Freyr Erlingsson</dc:creator>
  <cp:lastModifiedBy>Arnar Freyr Erlingsson</cp:lastModifiedBy>
  <dcterms:created xsi:type="dcterms:W3CDTF">2025-08-25T11:57:15Z</dcterms:created>
  <dcterms:modified xsi:type="dcterms:W3CDTF">2025-09-02T14:17:37Z</dcterms:modified>
</cp:coreProperties>
</file>