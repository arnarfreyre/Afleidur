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-Segal\Documents\Teaching\Derivatives\Lectures\"/>
    </mc:Choice>
  </mc:AlternateContent>
  <xr:revisionPtr revIDLastSave="0" documentId="13_ncr:1_{C6B4634E-440B-495D-9359-F8FA576DF6AE}" xr6:coauthVersionLast="47" xr6:coauthVersionMax="47" xr10:uidLastSave="{00000000-0000-0000-0000-000000000000}"/>
  <bookViews>
    <workbookView xWindow="4515" yWindow="1905" windowWidth="21600" windowHeight="11295" activeTab="1" xr2:uid="{F5DBAD32-A46F-4DFC-AB4E-44B301A3E4D4}"/>
  </bookViews>
  <sheets>
    <sheet name="Prob I" sheetId="2" r:id="rId1"/>
    <sheet name="Sol I" sheetId="1" r:id="rId2"/>
    <sheet name="Prob II" sheetId="4" r:id="rId3"/>
    <sheet name="Sol II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 s="1"/>
  <c r="H12" i="1" s="1"/>
  <c r="H13" i="1" s="1"/>
  <c r="H14" i="1" s="1"/>
  <c r="H8" i="1"/>
  <c r="D10" i="3"/>
  <c r="G8" i="4"/>
  <c r="F8" i="4"/>
  <c r="C3" i="4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9" i="3"/>
  <c r="E10" i="3"/>
  <c r="J30" i="3"/>
  <c r="J23" i="3"/>
  <c r="J24" i="3"/>
  <c r="J25" i="3"/>
  <c r="J26" i="3"/>
  <c r="J27" i="3"/>
  <c r="J28" i="3"/>
  <c r="J2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9" i="3"/>
  <c r="I30" i="3"/>
  <c r="C3" i="3"/>
  <c r="F9" i="3" s="1"/>
  <c r="G9" i="3" s="1"/>
  <c r="F10" i="3" s="1"/>
  <c r="D9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G8" i="3"/>
  <c r="F8" i="3"/>
  <c r="E14" i="2"/>
  <c r="E13" i="2"/>
  <c r="E12" i="2"/>
  <c r="E11" i="2"/>
  <c r="E10" i="2"/>
  <c r="E9" i="2"/>
  <c r="E8" i="2"/>
  <c r="E7" i="2"/>
  <c r="H7" i="2" s="1"/>
  <c r="F9" i="1"/>
  <c r="G9" i="1"/>
  <c r="I9" i="1"/>
  <c r="F10" i="1"/>
  <c r="G10" i="1"/>
  <c r="I10" i="1"/>
  <c r="F11" i="1"/>
  <c r="G11" i="1"/>
  <c r="I11" i="1"/>
  <c r="F12" i="1"/>
  <c r="G12" i="1"/>
  <c r="I12" i="1"/>
  <c r="F13" i="1"/>
  <c r="G13" i="1"/>
  <c r="I13" i="1"/>
  <c r="F14" i="1"/>
  <c r="G14" i="1"/>
  <c r="F8" i="1"/>
  <c r="G8" i="1" s="1"/>
  <c r="E8" i="1"/>
  <c r="I8" i="1" s="1"/>
  <c r="E9" i="1"/>
  <c r="E10" i="1"/>
  <c r="E11" i="1"/>
  <c r="E12" i="1"/>
  <c r="E13" i="1"/>
  <c r="E14" i="1"/>
  <c r="I14" i="1" s="1"/>
  <c r="E7" i="1"/>
  <c r="I7" i="1" s="1"/>
  <c r="G10" i="3" l="1"/>
  <c r="E11" i="3" s="1"/>
  <c r="J8" i="1"/>
  <c r="H7" i="1"/>
  <c r="I7" i="2"/>
  <c r="J9" i="1"/>
  <c r="G11" i="3" l="1"/>
  <c r="E12" i="3" s="1"/>
  <c r="F12" i="3" s="1"/>
  <c r="G12" i="3" s="1"/>
  <c r="E13" i="3" s="1"/>
  <c r="F13" i="3" s="1"/>
  <c r="F11" i="3"/>
  <c r="J10" i="1"/>
  <c r="J11" i="1"/>
  <c r="G13" i="3" l="1"/>
  <c r="E14" i="3" s="1"/>
  <c r="F14" i="3" s="1"/>
  <c r="J12" i="1"/>
  <c r="G14" i="3" l="1"/>
  <c r="E15" i="3" s="1"/>
  <c r="F15" i="3" s="1"/>
  <c r="J14" i="1"/>
  <c r="J13" i="1"/>
  <c r="G15" i="3" l="1"/>
  <c r="E16" i="3" s="1"/>
  <c r="F16" i="3" s="1"/>
  <c r="G16" i="3" l="1"/>
  <c r="E17" i="3" s="1"/>
  <c r="F17" i="3" s="1"/>
  <c r="G17" i="3" l="1"/>
  <c r="E18" i="3" s="1"/>
  <c r="F18" i="3" s="1"/>
  <c r="G18" i="3" l="1"/>
  <c r="E19" i="3" s="1"/>
  <c r="F19" i="3" s="1"/>
  <c r="G19" i="3" l="1"/>
  <c r="E20" i="3" s="1"/>
  <c r="F20" i="3" s="1"/>
  <c r="G20" i="3" l="1"/>
  <c r="E21" i="3" s="1"/>
  <c r="F21" i="3" s="1"/>
  <c r="G21" i="3" l="1"/>
  <c r="E22" i="3" s="1"/>
  <c r="F22" i="3" s="1"/>
  <c r="G22" i="3" l="1"/>
  <c r="E23" i="3" s="1"/>
  <c r="F23" i="3" s="1"/>
  <c r="G23" i="3" l="1"/>
  <c r="E24" i="3" s="1"/>
  <c r="F24" i="3" s="1"/>
  <c r="G24" i="3" l="1"/>
  <c r="E25" i="3" s="1"/>
  <c r="F25" i="3" s="1"/>
  <c r="G25" i="3" l="1"/>
  <c r="E26" i="3" s="1"/>
  <c r="F26" i="3" s="1"/>
  <c r="G26" i="3" l="1"/>
  <c r="E27" i="3" s="1"/>
  <c r="F27" i="3" s="1"/>
  <c r="G27" i="3" l="1"/>
  <c r="E28" i="3" s="1"/>
  <c r="F28" i="3" s="1"/>
  <c r="G28" i="3" l="1"/>
  <c r="E29" i="3" s="1"/>
  <c r="F29" i="3" s="1"/>
  <c r="G29" i="3" l="1"/>
  <c r="E30" i="3" s="1"/>
  <c r="F30" i="3" s="1"/>
</calcChain>
</file>

<file path=xl/sharedStrings.xml><?xml version="1.0" encoding="utf-8"?>
<sst xmlns="http://schemas.openxmlformats.org/spreadsheetml/2006/main" count="60" uniqueCount="30">
  <si>
    <t>Risk Free rate</t>
  </si>
  <si>
    <t>Req Margin</t>
  </si>
  <si>
    <t>Day</t>
  </si>
  <si>
    <t>No Contracts</t>
  </si>
  <si>
    <t>Futures price (p/c)</t>
  </si>
  <si>
    <t>Total price</t>
  </si>
  <si>
    <t>Pr change per contract</t>
  </si>
  <si>
    <t>Pr change per pos</t>
  </si>
  <si>
    <t>New balance</t>
  </si>
  <si>
    <t>Min Req Marg</t>
  </si>
  <si>
    <t>Pay to acc</t>
  </si>
  <si>
    <t>Contract entered</t>
  </si>
  <si>
    <t>Maturity</t>
  </si>
  <si>
    <t>19/11/2010</t>
  </si>
  <si>
    <t>Strike</t>
  </si>
  <si>
    <t>US interest rate</t>
  </si>
  <si>
    <t>Contract Size N</t>
  </si>
  <si>
    <t>Initial Margin</t>
  </si>
  <si>
    <t>Base</t>
  </si>
  <si>
    <t>Variation margin</t>
  </si>
  <si>
    <t>(maintenance margin)</t>
  </si>
  <si>
    <t>t</t>
  </si>
  <si>
    <t>f(t,T)</t>
  </si>
  <si>
    <t>P&amp;L</t>
  </si>
  <si>
    <t>c/o</t>
  </si>
  <si>
    <t>SHORT Forward</t>
  </si>
  <si>
    <t>SHORT Futures</t>
  </si>
  <si>
    <t>PV(CF Fut)</t>
  </si>
  <si>
    <t>Margin account balance</t>
  </si>
  <si>
    <t>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</si>
</sst>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44" fontId="0" fillId="2" borderId="1" xfId="1" applyFont="1" applyFill="1" applyBorder="1"/>
    <xf numFmtId="164" fontId="0" fillId="2" borderId="1" xfId="0" applyNumberFormat="1" applyFill="1" applyBorder="1"/>
    <xf numFmtId="44" fontId="0" fillId="2" borderId="1" xfId="0" applyNumberForma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9" fontId="0" fillId="3" borderId="1" xfId="0" applyNumberFormat="1" applyFill="1" applyBorder="1"/>
    <xf numFmtId="0" fontId="0" fillId="3" borderId="1" xfId="0" applyFill="1" applyBorder="1"/>
    <xf numFmtId="44" fontId="0" fillId="3" borderId="1" xfId="1" applyFont="1" applyFill="1" applyBorder="1"/>
    <xf numFmtId="10" fontId="0" fillId="2" borderId="1" xfId="0" applyNumberFormat="1" applyFill="1" applyBorder="1"/>
    <xf numFmtId="0" fontId="0" fillId="2" borderId="4" xfId="0" applyFill="1" applyBorder="1"/>
    <xf numFmtId="0" fontId="3" fillId="2" borderId="5" xfId="0" applyFont="1" applyFill="1" applyBorder="1"/>
    <xf numFmtId="14" fontId="0" fillId="2" borderId="1" xfId="0" applyNumberFormat="1" applyFill="1" applyBorder="1"/>
    <xf numFmtId="44" fontId="0" fillId="4" borderId="1" xfId="0" applyNumberFormat="1" applyFill="1" applyBorder="1"/>
    <xf numFmtId="0" fontId="2" fillId="4" borderId="1" xfId="0" applyFont="1" applyFill="1" applyBorder="1" applyAlignment="1">
      <alignment horizontal="right"/>
    </xf>
    <xf numFmtId="44" fontId="0" fillId="5" borderId="1" xfId="0" applyNumberFormat="1" applyFill="1" applyBorder="1"/>
    <xf numFmtId="44" fontId="0" fillId="5" borderId="1" xfId="1" applyFont="1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AE3E-7D58-42C6-8BF1-9878834CC00E}">
  <dimension ref="B2:J14"/>
  <sheetViews>
    <sheetView workbookViewId="0">
      <selection activeCell="D23" sqref="D23"/>
    </sheetView>
  </sheetViews>
  <sheetFormatPr defaultRowHeight="15" x14ac:dyDescent="0.25"/>
  <cols>
    <col min="1" max="1" width="9.140625" style="1"/>
    <col min="2" max="2" width="13.140625" style="1" bestFit="1" customWidth="1"/>
    <col min="3" max="3" width="12.28515625" style="1" bestFit="1" customWidth="1"/>
    <col min="4" max="4" width="17.5703125" style="1" bestFit="1" customWidth="1"/>
    <col min="5" max="5" width="14.28515625" style="1" bestFit="1" customWidth="1"/>
    <col min="6" max="6" width="20.85546875" style="1" bestFit="1" customWidth="1"/>
    <col min="7" max="7" width="16.7109375" style="1" bestFit="1" customWidth="1"/>
    <col min="8" max="8" width="14.28515625" style="1" bestFit="1" customWidth="1"/>
    <col min="9" max="9" width="13.28515625" style="1" bestFit="1" customWidth="1"/>
    <col min="10" max="10" width="11.5703125" style="1" bestFit="1" customWidth="1"/>
    <col min="11" max="16384" width="9.140625" style="1"/>
  </cols>
  <sheetData>
    <row r="2" spans="2:10" x14ac:dyDescent="0.25">
      <c r="B2" s="2" t="s">
        <v>0</v>
      </c>
      <c r="C2" s="8">
        <v>0.05</v>
      </c>
    </row>
    <row r="3" spans="2:10" x14ac:dyDescent="0.25">
      <c r="B3" s="2" t="s">
        <v>1</v>
      </c>
      <c r="C3" s="8">
        <v>0.1</v>
      </c>
    </row>
    <row r="6" spans="2:10" x14ac:dyDescent="0.25">
      <c r="B6" s="6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</row>
    <row r="7" spans="2:10" x14ac:dyDescent="0.25">
      <c r="B7" s="9">
        <v>0</v>
      </c>
      <c r="C7" s="9">
        <v>5000</v>
      </c>
      <c r="D7" s="10">
        <v>1000</v>
      </c>
      <c r="E7" s="4">
        <f>D7*C7</f>
        <v>5000000</v>
      </c>
      <c r="F7" s="2">
        <v>0</v>
      </c>
      <c r="G7" s="2">
        <v>0</v>
      </c>
      <c r="H7" s="4">
        <f>E7*C3</f>
        <v>500000</v>
      </c>
      <c r="I7" s="4">
        <f>E7*$C$3</f>
        <v>500000</v>
      </c>
      <c r="J7" s="2">
        <v>0</v>
      </c>
    </row>
    <row r="8" spans="2:10" x14ac:dyDescent="0.25">
      <c r="B8" s="9">
        <v>1</v>
      </c>
      <c r="C8" s="9">
        <v>5000</v>
      </c>
      <c r="D8" s="10">
        <v>987.9</v>
      </c>
      <c r="E8" s="4">
        <f t="shared" ref="E8:E14" si="0">D8*C8</f>
        <v>4939500</v>
      </c>
      <c r="F8" s="5"/>
      <c r="G8" s="5"/>
      <c r="H8" s="5"/>
      <c r="I8" s="4"/>
      <c r="J8" s="5"/>
    </row>
    <row r="9" spans="2:10" x14ac:dyDescent="0.25">
      <c r="B9" s="9">
        <v>2</v>
      </c>
      <c r="C9" s="9">
        <v>5000</v>
      </c>
      <c r="D9" s="10">
        <v>987.97</v>
      </c>
      <c r="E9" s="4">
        <f t="shared" si="0"/>
        <v>4939850</v>
      </c>
      <c r="F9" s="5"/>
      <c r="G9" s="5"/>
      <c r="H9" s="5"/>
      <c r="I9" s="4"/>
      <c r="J9" s="5"/>
    </row>
    <row r="10" spans="2:10" x14ac:dyDescent="0.25">
      <c r="B10" s="9">
        <v>3</v>
      </c>
      <c r="C10" s="9">
        <v>5000</v>
      </c>
      <c r="D10" s="10">
        <v>990.53</v>
      </c>
      <c r="E10" s="4">
        <f t="shared" si="0"/>
        <v>4952650</v>
      </c>
      <c r="F10" s="5"/>
      <c r="G10" s="5"/>
      <c r="H10" s="5"/>
      <c r="I10" s="4"/>
      <c r="J10" s="5"/>
    </row>
    <row r="11" spans="2:10" x14ac:dyDescent="0.25">
      <c r="B11" s="9">
        <v>4</v>
      </c>
      <c r="C11" s="9">
        <v>5000</v>
      </c>
      <c r="D11" s="10">
        <v>988.37</v>
      </c>
      <c r="E11" s="4">
        <f t="shared" si="0"/>
        <v>4941850</v>
      </c>
      <c r="F11" s="5"/>
      <c r="G11" s="5"/>
      <c r="H11" s="5"/>
      <c r="I11" s="4"/>
      <c r="J11" s="5"/>
    </row>
    <row r="12" spans="2:10" x14ac:dyDescent="0.25">
      <c r="B12" s="9">
        <v>5</v>
      </c>
      <c r="C12" s="9">
        <v>5000</v>
      </c>
      <c r="D12" s="10">
        <v>973.89</v>
      </c>
      <c r="E12" s="4">
        <f t="shared" si="0"/>
        <v>4869450</v>
      </c>
      <c r="F12" s="5"/>
      <c r="G12" s="5"/>
      <c r="H12" s="5"/>
      <c r="I12" s="4"/>
      <c r="J12" s="5"/>
    </row>
    <row r="13" spans="2:10" x14ac:dyDescent="0.25">
      <c r="B13" s="9">
        <v>6</v>
      </c>
      <c r="C13" s="9">
        <v>5000</v>
      </c>
      <c r="D13" s="10">
        <v>968.7</v>
      </c>
      <c r="E13" s="4">
        <f t="shared" si="0"/>
        <v>4843500</v>
      </c>
      <c r="F13" s="5"/>
      <c r="G13" s="5"/>
      <c r="H13" s="5"/>
      <c r="I13" s="4"/>
      <c r="J13" s="5"/>
    </row>
    <row r="14" spans="2:10" x14ac:dyDescent="0.25">
      <c r="B14" s="9">
        <v>7</v>
      </c>
      <c r="C14" s="9">
        <v>5000</v>
      </c>
      <c r="D14" s="10">
        <v>980.82</v>
      </c>
      <c r="E14" s="4">
        <f t="shared" si="0"/>
        <v>4904100</v>
      </c>
      <c r="F14" s="5"/>
      <c r="G14" s="5"/>
      <c r="H14" s="5"/>
      <c r="I14" s="4"/>
      <c r="J14" s="5"/>
    </row>
  </sheetData>
  <conditionalFormatting sqref="F8:G14">
    <cfRule type="cellIs" dxfId="11" priority="2" operator="greaterThan">
      <formula>0</formula>
    </cfRule>
    <cfRule type="cellIs" dxfId="10" priority="3" operator="greaterThan">
      <formula>0</formula>
    </cfRule>
    <cfRule type="cellIs" dxfId="9" priority="4" operator="lessThan">
      <formula>0</formula>
    </cfRule>
  </conditionalFormatting>
  <conditionalFormatting sqref="J8:J14">
    <cfRule type="cellIs" dxfId="8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3CC1-16B9-4B64-A592-696F7E380A07}">
  <dimension ref="B2:J14"/>
  <sheetViews>
    <sheetView tabSelected="1" workbookViewId="0">
      <selection activeCell="H9" sqref="H9"/>
    </sheetView>
  </sheetViews>
  <sheetFormatPr defaultRowHeight="15" x14ac:dyDescent="0.25"/>
  <cols>
    <col min="1" max="1" width="9.140625" style="1"/>
    <col min="2" max="2" width="13.140625" style="1" bestFit="1" customWidth="1"/>
    <col min="3" max="3" width="12.28515625" style="1" bestFit="1" customWidth="1"/>
    <col min="4" max="4" width="17.5703125" style="1" bestFit="1" customWidth="1"/>
    <col min="5" max="5" width="14.28515625" style="1" bestFit="1" customWidth="1"/>
    <col min="6" max="6" width="20.85546875" style="1" bestFit="1" customWidth="1"/>
    <col min="7" max="7" width="16.7109375" style="1" bestFit="1" customWidth="1"/>
    <col min="8" max="8" width="14.28515625" style="1" bestFit="1" customWidth="1"/>
    <col min="9" max="9" width="13.28515625" style="1" bestFit="1" customWidth="1"/>
    <col min="10" max="10" width="11.5703125" style="1" bestFit="1" customWidth="1"/>
    <col min="11" max="16384" width="9.140625" style="1"/>
  </cols>
  <sheetData>
    <row r="2" spans="2:10" x14ac:dyDescent="0.25">
      <c r="B2" s="2" t="s">
        <v>0</v>
      </c>
      <c r="C2" s="8">
        <v>0.05</v>
      </c>
    </row>
    <row r="3" spans="2:10" x14ac:dyDescent="0.25">
      <c r="B3" s="2" t="s">
        <v>1</v>
      </c>
      <c r="C3" s="8">
        <v>0.1</v>
      </c>
    </row>
    <row r="6" spans="2:10" x14ac:dyDescent="0.25">
      <c r="B6" s="6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</row>
    <row r="7" spans="2:10" x14ac:dyDescent="0.25">
      <c r="B7" s="9">
        <v>0</v>
      </c>
      <c r="C7" s="9">
        <v>5000</v>
      </c>
      <c r="D7" s="10">
        <v>1000</v>
      </c>
      <c r="E7" s="4">
        <f>D7*C7</f>
        <v>5000000</v>
      </c>
      <c r="F7" s="2">
        <v>0</v>
      </c>
      <c r="G7" s="2">
        <v>0</v>
      </c>
      <c r="H7" s="4">
        <f>E7*C3</f>
        <v>500000</v>
      </c>
      <c r="I7" s="4">
        <f>E7*$C$3</f>
        <v>500000</v>
      </c>
      <c r="J7" s="2">
        <v>0</v>
      </c>
    </row>
    <row r="8" spans="2:10" x14ac:dyDescent="0.25">
      <c r="B8" s="9">
        <v>1</v>
      </c>
      <c r="C8" s="9">
        <v>5000</v>
      </c>
      <c r="D8" s="10">
        <v>987.9</v>
      </c>
      <c r="E8" s="4">
        <f t="shared" ref="E8:E14" si="0">D8*C8</f>
        <v>4939500</v>
      </c>
      <c r="F8" s="5">
        <f>D8-D7</f>
        <v>-12.100000000000023</v>
      </c>
      <c r="G8" s="5">
        <f>F8*C8</f>
        <v>-60500.000000000116</v>
      </c>
      <c r="H8" s="5">
        <f>(MAX(H7,I7)*(1+$C$2*(B8-B7)/365))+G8</f>
        <v>439568.49315068481</v>
      </c>
      <c r="I8" s="4">
        <f>E8*$C$3</f>
        <v>493950</v>
      </c>
      <c r="J8" s="5">
        <f>MAX(I8-H8,0)</f>
        <v>54381.506849315192</v>
      </c>
    </row>
    <row r="9" spans="2:10" x14ac:dyDescent="0.25">
      <c r="B9" s="9">
        <v>2</v>
      </c>
      <c r="C9" s="9">
        <v>5000</v>
      </c>
      <c r="D9" s="10">
        <v>987.97</v>
      </c>
      <c r="E9" s="4">
        <f t="shared" si="0"/>
        <v>4939850</v>
      </c>
      <c r="F9" s="5">
        <f t="shared" ref="F9:F14" si="1">D9-D8</f>
        <v>7.0000000000050022E-2</v>
      </c>
      <c r="G9" s="5">
        <f t="shared" ref="G9:G14" si="2">F9*C9</f>
        <v>350.00000000025011</v>
      </c>
      <c r="H9" s="5">
        <f t="shared" ref="H9:H14" si="3">(MAX(H8,I8)*(1+$C$2*(B9-B8)/365))+G9</f>
        <v>494367.66438356187</v>
      </c>
      <c r="I9" s="4">
        <f t="shared" ref="I9:I14" si="4">E9*$C$3</f>
        <v>493985</v>
      </c>
      <c r="J9" s="5">
        <f t="shared" ref="J9:J14" si="5">MAX(I9-H9,0)</f>
        <v>0</v>
      </c>
    </row>
    <row r="10" spans="2:10" x14ac:dyDescent="0.25">
      <c r="B10" s="9">
        <v>3</v>
      </c>
      <c r="C10" s="9">
        <v>5000</v>
      </c>
      <c r="D10" s="10">
        <v>990.53</v>
      </c>
      <c r="E10" s="4">
        <f t="shared" si="0"/>
        <v>4952650</v>
      </c>
      <c r="F10" s="5">
        <f t="shared" si="1"/>
        <v>2.5599999999999454</v>
      </c>
      <c r="G10" s="5">
        <f t="shared" si="2"/>
        <v>12799.999999999727</v>
      </c>
      <c r="H10" s="5">
        <f t="shared" si="3"/>
        <v>507235.38598142233</v>
      </c>
      <c r="I10" s="4">
        <f t="shared" si="4"/>
        <v>495265</v>
      </c>
      <c r="J10" s="5">
        <f t="shared" si="5"/>
        <v>0</v>
      </c>
    </row>
    <row r="11" spans="2:10" x14ac:dyDescent="0.25">
      <c r="B11" s="9">
        <v>4</v>
      </c>
      <c r="C11" s="9">
        <v>5000</v>
      </c>
      <c r="D11" s="10">
        <v>988.37</v>
      </c>
      <c r="E11" s="4">
        <f t="shared" si="0"/>
        <v>4941850</v>
      </c>
      <c r="F11" s="5">
        <f t="shared" si="1"/>
        <v>-2.1599999999999682</v>
      </c>
      <c r="G11" s="5">
        <f t="shared" si="2"/>
        <v>-10799.99999999984</v>
      </c>
      <c r="H11" s="5">
        <f t="shared" si="3"/>
        <v>496504.87028087198</v>
      </c>
      <c r="I11" s="4">
        <f t="shared" si="4"/>
        <v>494185</v>
      </c>
      <c r="J11" s="5">
        <f>MAX(I11-H11,0)</f>
        <v>0</v>
      </c>
    </row>
    <row r="12" spans="2:10" x14ac:dyDescent="0.25">
      <c r="B12" s="9">
        <v>5</v>
      </c>
      <c r="C12" s="9">
        <v>5000</v>
      </c>
      <c r="D12" s="10">
        <v>973.89</v>
      </c>
      <c r="E12" s="4">
        <f t="shared" si="0"/>
        <v>4869450</v>
      </c>
      <c r="F12" s="5">
        <f t="shared" si="1"/>
        <v>-14.480000000000018</v>
      </c>
      <c r="G12" s="5">
        <f t="shared" si="2"/>
        <v>-72400.000000000087</v>
      </c>
      <c r="H12" s="5">
        <f t="shared" si="3"/>
        <v>424172.88464666379</v>
      </c>
      <c r="I12" s="4">
        <f t="shared" si="4"/>
        <v>486945</v>
      </c>
      <c r="J12" s="5">
        <f t="shared" si="5"/>
        <v>62772.115353336208</v>
      </c>
    </row>
    <row r="13" spans="2:10" x14ac:dyDescent="0.25">
      <c r="B13" s="9">
        <v>6</v>
      </c>
      <c r="C13" s="9">
        <v>5000</v>
      </c>
      <c r="D13" s="10">
        <v>968.7</v>
      </c>
      <c r="E13" s="4">
        <f t="shared" si="0"/>
        <v>4843500</v>
      </c>
      <c r="F13" s="5">
        <f t="shared" si="1"/>
        <v>-5.1899999999999409</v>
      </c>
      <c r="G13" s="5">
        <f t="shared" si="2"/>
        <v>-25949.999999999705</v>
      </c>
      <c r="H13" s="5">
        <f t="shared" si="3"/>
        <v>461061.7047945208</v>
      </c>
      <c r="I13" s="4">
        <f t="shared" si="4"/>
        <v>484350</v>
      </c>
      <c r="J13" s="5">
        <f t="shared" si="5"/>
        <v>23288.295205479197</v>
      </c>
    </row>
    <row r="14" spans="2:10" x14ac:dyDescent="0.25">
      <c r="B14" s="9">
        <v>7</v>
      </c>
      <c r="C14" s="9">
        <v>5000</v>
      </c>
      <c r="D14" s="10">
        <v>980.82</v>
      </c>
      <c r="E14" s="4">
        <f t="shared" si="0"/>
        <v>4904100</v>
      </c>
      <c r="F14" s="5">
        <f t="shared" si="1"/>
        <v>12.120000000000005</v>
      </c>
      <c r="G14" s="5">
        <f t="shared" si="2"/>
        <v>60600.000000000022</v>
      </c>
      <c r="H14" s="5">
        <f t="shared" si="3"/>
        <v>545016.34931506845</v>
      </c>
      <c r="I14" s="4">
        <f t="shared" si="4"/>
        <v>490410</v>
      </c>
      <c r="J14" s="5">
        <f t="shared" si="5"/>
        <v>0</v>
      </c>
    </row>
  </sheetData>
  <conditionalFormatting sqref="F8:G14">
    <cfRule type="cellIs" dxfId="7" priority="5" operator="greaterThan">
      <formula>0</formula>
    </cfRule>
    <cfRule type="cellIs" dxfId="6" priority="6" operator="greaterThan">
      <formula>0</formula>
    </cfRule>
    <cfRule type="cellIs" dxfId="5" priority="7" operator="lessThan">
      <formula>0</formula>
    </cfRule>
  </conditionalFormatting>
  <conditionalFormatting sqref="J8:J14">
    <cfRule type="cellIs" dxfId="4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AD82-BE30-4FF0-9D96-405FA3C35BA5}">
  <dimension ref="B3:M30"/>
  <sheetViews>
    <sheetView workbookViewId="0">
      <selection activeCell="L17" sqref="L17"/>
    </sheetView>
  </sheetViews>
  <sheetFormatPr defaultRowHeight="15" x14ac:dyDescent="0.25"/>
  <cols>
    <col min="1" max="1" width="9.140625" style="1"/>
    <col min="2" max="2" width="18.140625" style="1" bestFit="1" customWidth="1"/>
    <col min="3" max="3" width="10.7109375" style="1" bestFit="1" customWidth="1"/>
    <col min="4" max="4" width="8.7109375" style="1" bestFit="1" customWidth="1"/>
    <col min="5" max="5" width="14.85546875" style="1" bestFit="1" customWidth="1"/>
    <col min="6" max="6" width="11.5703125" style="1" bestFit="1" customWidth="1"/>
    <col min="7" max="7" width="12.5703125" style="1" bestFit="1" customWidth="1"/>
    <col min="8" max="8" width="1.5703125" style="1" customWidth="1"/>
    <col min="9" max="9" width="14.7109375" style="1" bestFit="1" customWidth="1"/>
    <col min="10" max="10" width="14.140625" style="1" bestFit="1" customWidth="1"/>
    <col min="11" max="11" width="11.28515625" style="1" bestFit="1" customWidth="1"/>
    <col min="12" max="12" width="21.42578125" style="1" bestFit="1" customWidth="1"/>
    <col min="13" max="13" width="5" style="1" bestFit="1" customWidth="1"/>
    <col min="14" max="16384" width="9.140625" style="1"/>
  </cols>
  <sheetData>
    <row r="3" spans="2:13" x14ac:dyDescent="0.25">
      <c r="B3" s="2" t="s">
        <v>11</v>
      </c>
      <c r="C3" s="14">
        <f>DATE(2010,10,20)</f>
        <v>40471</v>
      </c>
      <c r="E3" s="2" t="s">
        <v>14</v>
      </c>
      <c r="F3" s="2">
        <v>85</v>
      </c>
      <c r="I3" s="2" t="s">
        <v>16</v>
      </c>
      <c r="J3" s="2">
        <v>1000</v>
      </c>
      <c r="L3" s="2" t="s">
        <v>18</v>
      </c>
      <c r="M3" s="2">
        <v>365</v>
      </c>
    </row>
    <row r="4" spans="2:13" x14ac:dyDescent="0.25">
      <c r="B4" s="2" t="s">
        <v>12</v>
      </c>
      <c r="C4" s="2" t="s">
        <v>13</v>
      </c>
      <c r="E4" s="2" t="s">
        <v>15</v>
      </c>
      <c r="F4" s="11">
        <v>2.5000000000000001E-3</v>
      </c>
      <c r="I4" s="2" t="s">
        <v>17</v>
      </c>
      <c r="J4" s="2">
        <v>9788</v>
      </c>
      <c r="L4" s="12" t="s">
        <v>19</v>
      </c>
      <c r="M4" s="19">
        <v>7250</v>
      </c>
    </row>
    <row r="5" spans="2:13" x14ac:dyDescent="0.25">
      <c r="L5" s="13" t="s">
        <v>20</v>
      </c>
      <c r="M5" s="20"/>
    </row>
    <row r="7" spans="2:13" x14ac:dyDescent="0.25">
      <c r="E7" s="21" t="s">
        <v>28</v>
      </c>
      <c r="F7" s="21"/>
      <c r="G7" s="21"/>
      <c r="I7" s="21" t="s">
        <v>29</v>
      </c>
      <c r="J7" s="21"/>
    </row>
    <row r="8" spans="2:13" x14ac:dyDescent="0.25">
      <c r="B8" s="6" t="s">
        <v>21</v>
      </c>
      <c r="C8" s="7" t="s">
        <v>22</v>
      </c>
      <c r="D8" s="7" t="s">
        <v>23</v>
      </c>
      <c r="E8" s="7" t="s">
        <v>24</v>
      </c>
      <c r="F8" s="7" t="str">
        <f>"+P&amp;L"</f>
        <v>+P&amp;L</v>
      </c>
      <c r="G8" s="7" t="str">
        <f>"+P&amp;L+Margin"</f>
        <v>+P&amp;L+Margin</v>
      </c>
      <c r="H8" s="16"/>
      <c r="I8" s="7" t="s">
        <v>25</v>
      </c>
      <c r="J8" s="7" t="s">
        <v>26</v>
      </c>
      <c r="K8" s="7" t="s">
        <v>27</v>
      </c>
    </row>
    <row r="9" spans="2:13" x14ac:dyDescent="0.25">
      <c r="B9" s="14">
        <v>40472</v>
      </c>
      <c r="C9" s="2">
        <v>80.36</v>
      </c>
      <c r="D9" s="3"/>
      <c r="E9" s="3">
        <v>9788</v>
      </c>
      <c r="F9" s="3"/>
      <c r="G9" s="5"/>
      <c r="H9" s="15"/>
      <c r="I9" s="3"/>
      <c r="J9" s="17"/>
      <c r="K9" s="17"/>
    </row>
    <row r="10" spans="2:13" x14ac:dyDescent="0.25">
      <c r="B10" s="14">
        <v>40473</v>
      </c>
      <c r="C10" s="2">
        <v>81.63</v>
      </c>
      <c r="D10" s="3"/>
      <c r="E10" s="5"/>
      <c r="F10" s="5"/>
      <c r="G10" s="5"/>
      <c r="H10" s="15"/>
      <c r="I10" s="3"/>
      <c r="J10" s="5"/>
      <c r="K10" s="5"/>
    </row>
    <row r="11" spans="2:13" x14ac:dyDescent="0.25">
      <c r="B11" s="14">
        <v>40476</v>
      </c>
      <c r="C11" s="2">
        <v>82.52</v>
      </c>
      <c r="D11" s="3"/>
      <c r="E11" s="5"/>
      <c r="F11" s="5"/>
      <c r="G11" s="5"/>
      <c r="H11" s="15"/>
      <c r="I11" s="3"/>
      <c r="J11" s="5"/>
      <c r="K11" s="5"/>
    </row>
    <row r="12" spans="2:13" x14ac:dyDescent="0.25">
      <c r="B12" s="14">
        <v>40477</v>
      </c>
      <c r="C12" s="2">
        <v>82.57</v>
      </c>
      <c r="D12" s="3"/>
      <c r="E12" s="5"/>
      <c r="F12" s="5"/>
      <c r="G12" s="5"/>
      <c r="H12" s="15"/>
      <c r="I12" s="3"/>
      <c r="J12" s="5"/>
      <c r="K12" s="5"/>
    </row>
    <row r="13" spans="2:13" x14ac:dyDescent="0.25">
      <c r="B13" s="14">
        <v>40478</v>
      </c>
      <c r="C13" s="2">
        <v>81.91</v>
      </c>
      <c r="D13" s="3"/>
      <c r="E13" s="5"/>
      <c r="F13" s="5"/>
      <c r="G13" s="5"/>
      <c r="H13" s="15"/>
      <c r="I13" s="3"/>
      <c r="J13" s="5"/>
      <c r="K13" s="5"/>
    </row>
    <row r="14" spans="2:13" x14ac:dyDescent="0.25">
      <c r="B14" s="14">
        <v>40479</v>
      </c>
      <c r="C14" s="2">
        <v>82.18</v>
      </c>
      <c r="D14" s="3"/>
      <c r="E14" s="5"/>
      <c r="F14" s="5"/>
      <c r="G14" s="5"/>
      <c r="H14" s="15"/>
      <c r="I14" s="3"/>
      <c r="J14" s="5"/>
      <c r="K14" s="5"/>
    </row>
    <row r="15" spans="2:13" x14ac:dyDescent="0.25">
      <c r="B15" s="14">
        <v>40480</v>
      </c>
      <c r="C15" s="2">
        <v>81.45</v>
      </c>
      <c r="D15" s="3"/>
      <c r="E15" s="5"/>
      <c r="F15" s="5"/>
      <c r="G15" s="5"/>
      <c r="H15" s="15"/>
      <c r="I15" s="3"/>
      <c r="J15" s="5"/>
      <c r="K15" s="5"/>
    </row>
    <row r="16" spans="2:13" x14ac:dyDescent="0.25">
      <c r="B16" s="14">
        <v>40483</v>
      </c>
      <c r="C16" s="2">
        <v>82.98</v>
      </c>
      <c r="D16" s="3"/>
      <c r="E16" s="5"/>
      <c r="F16" s="5"/>
      <c r="G16" s="5"/>
      <c r="H16" s="15"/>
      <c r="I16" s="3"/>
      <c r="J16" s="5"/>
      <c r="K16" s="5"/>
    </row>
    <row r="17" spans="2:11" x14ac:dyDescent="0.25">
      <c r="B17" s="14">
        <v>40484</v>
      </c>
      <c r="C17" s="2">
        <v>83.91</v>
      </c>
      <c r="D17" s="3"/>
      <c r="E17" s="5"/>
      <c r="F17" s="5"/>
      <c r="G17" s="5"/>
      <c r="H17" s="15"/>
      <c r="I17" s="3"/>
      <c r="J17" s="5"/>
      <c r="K17" s="5"/>
    </row>
    <row r="18" spans="2:11" x14ac:dyDescent="0.25">
      <c r="B18" s="14">
        <v>40485</v>
      </c>
      <c r="C18" s="2">
        <v>84.67</v>
      </c>
      <c r="D18" s="3"/>
      <c r="E18" s="5"/>
      <c r="F18" s="5"/>
      <c r="G18" s="5"/>
      <c r="H18" s="15"/>
      <c r="I18" s="3"/>
      <c r="J18" s="5"/>
      <c r="K18" s="5"/>
    </row>
    <row r="19" spans="2:11" x14ac:dyDescent="0.25">
      <c r="B19" s="14">
        <v>40486</v>
      </c>
      <c r="C19" s="2">
        <v>86.47</v>
      </c>
      <c r="D19" s="3"/>
      <c r="E19" s="5"/>
      <c r="F19" s="5"/>
      <c r="G19" s="5"/>
      <c r="H19" s="15"/>
      <c r="I19" s="3"/>
      <c r="J19" s="5"/>
      <c r="K19" s="5"/>
    </row>
    <row r="20" spans="2:11" x14ac:dyDescent="0.25">
      <c r="B20" s="14">
        <v>40487</v>
      </c>
      <c r="C20" s="2">
        <v>86.85</v>
      </c>
      <c r="D20" s="3"/>
      <c r="E20" s="5"/>
      <c r="F20" s="5"/>
      <c r="G20" s="5"/>
      <c r="H20" s="15"/>
      <c r="I20" s="3"/>
      <c r="J20" s="5"/>
      <c r="K20" s="5"/>
    </row>
    <row r="21" spans="2:11" x14ac:dyDescent="0.25">
      <c r="B21" s="14">
        <v>40490</v>
      </c>
      <c r="C21" s="2">
        <v>87.02</v>
      </c>
      <c r="D21" s="3"/>
      <c r="E21" s="5"/>
      <c r="F21" s="5"/>
      <c r="G21" s="5"/>
      <c r="H21" s="15"/>
      <c r="I21" s="3"/>
      <c r="J21" s="5"/>
      <c r="K21" s="5"/>
    </row>
    <row r="22" spans="2:11" x14ac:dyDescent="0.25">
      <c r="B22" s="14">
        <v>40491</v>
      </c>
      <c r="C22" s="2">
        <v>86.73</v>
      </c>
      <c r="D22" s="3"/>
      <c r="E22" s="5"/>
      <c r="F22" s="5"/>
      <c r="G22" s="5"/>
      <c r="H22" s="15"/>
      <c r="I22" s="3"/>
      <c r="J22" s="5"/>
      <c r="K22" s="5"/>
    </row>
    <row r="23" spans="2:11" x14ac:dyDescent="0.25">
      <c r="B23" s="14">
        <v>40492</v>
      </c>
      <c r="C23" s="2">
        <v>87.8</v>
      </c>
      <c r="D23" s="3"/>
      <c r="E23" s="5"/>
      <c r="F23" s="5"/>
      <c r="G23" s="5"/>
      <c r="H23" s="15"/>
      <c r="I23" s="3"/>
      <c r="J23" s="17"/>
      <c r="K23" s="17"/>
    </row>
    <row r="24" spans="2:11" x14ac:dyDescent="0.25">
      <c r="B24" s="14">
        <v>40493</v>
      </c>
      <c r="C24" s="2">
        <v>87.81</v>
      </c>
      <c r="D24" s="3"/>
      <c r="E24" s="5"/>
      <c r="F24" s="5"/>
      <c r="G24" s="5"/>
      <c r="H24" s="15"/>
      <c r="I24" s="3"/>
      <c r="J24" s="17"/>
      <c r="K24" s="17"/>
    </row>
    <row r="25" spans="2:11" x14ac:dyDescent="0.25">
      <c r="B25" s="14">
        <v>40494</v>
      </c>
      <c r="C25" s="2">
        <v>84.91</v>
      </c>
      <c r="D25" s="3"/>
      <c r="E25" s="5"/>
      <c r="F25" s="5"/>
      <c r="G25" s="5"/>
      <c r="H25" s="15"/>
      <c r="I25" s="3"/>
      <c r="J25" s="5"/>
      <c r="K25" s="5"/>
    </row>
    <row r="26" spans="2:11" x14ac:dyDescent="0.25">
      <c r="B26" s="14">
        <v>40497</v>
      </c>
      <c r="C26" s="2">
        <v>84.84</v>
      </c>
      <c r="D26" s="3"/>
      <c r="E26" s="5"/>
      <c r="F26" s="5"/>
      <c r="G26" s="5"/>
      <c r="H26" s="15"/>
      <c r="I26" s="3"/>
      <c r="J26" s="5"/>
      <c r="K26" s="5"/>
    </row>
    <row r="27" spans="2:11" x14ac:dyDescent="0.25">
      <c r="B27" s="14">
        <v>40498</v>
      </c>
      <c r="C27" s="2">
        <v>82.34</v>
      </c>
      <c r="D27" s="3"/>
      <c r="E27" s="5"/>
      <c r="F27" s="5"/>
      <c r="G27" s="5"/>
      <c r="H27" s="15"/>
      <c r="I27" s="3"/>
      <c r="J27" s="5"/>
      <c r="K27" s="5"/>
    </row>
    <row r="28" spans="2:11" x14ac:dyDescent="0.25">
      <c r="B28" s="14">
        <v>40499</v>
      </c>
      <c r="C28" s="2">
        <v>80.459999999999994</v>
      </c>
      <c r="D28" s="3"/>
      <c r="E28" s="5"/>
      <c r="F28" s="5"/>
      <c r="G28" s="5"/>
      <c r="H28" s="15"/>
      <c r="I28" s="3"/>
      <c r="J28" s="5"/>
      <c r="K28" s="5"/>
    </row>
    <row r="29" spans="2:11" x14ac:dyDescent="0.25">
      <c r="B29" s="14">
        <v>40500</v>
      </c>
      <c r="C29" s="2">
        <v>81.87</v>
      </c>
      <c r="D29" s="3"/>
      <c r="E29" s="5"/>
      <c r="F29" s="5"/>
      <c r="G29" s="5"/>
      <c r="H29" s="15"/>
      <c r="I29" s="3"/>
      <c r="J29" s="5"/>
      <c r="K29" s="5"/>
    </row>
    <row r="30" spans="2:11" x14ac:dyDescent="0.25">
      <c r="B30" s="14">
        <v>40501</v>
      </c>
      <c r="C30" s="2">
        <v>81.510000000000005</v>
      </c>
      <c r="D30" s="3"/>
      <c r="E30" s="5"/>
      <c r="F30" s="5"/>
      <c r="G30" s="15"/>
      <c r="H30" s="15"/>
      <c r="I30" s="18"/>
      <c r="J30" s="17"/>
      <c r="K30" s="17"/>
    </row>
  </sheetData>
  <mergeCells count="3">
    <mergeCell ref="M4:M5"/>
    <mergeCell ref="E7:G7"/>
    <mergeCell ref="I7:J7"/>
  </mergeCells>
  <conditionalFormatting sqref="D9:D3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0329-4AE3-42E5-A025-92DB21C8FAD3}">
  <dimension ref="B3:M30"/>
  <sheetViews>
    <sheetView workbookViewId="0">
      <selection activeCell="D11" sqref="D11"/>
    </sheetView>
  </sheetViews>
  <sheetFormatPr defaultRowHeight="15" x14ac:dyDescent="0.25"/>
  <cols>
    <col min="1" max="1" width="9.140625" style="1"/>
    <col min="2" max="2" width="18.140625" style="1" bestFit="1" customWidth="1"/>
    <col min="3" max="3" width="10.7109375" style="1" bestFit="1" customWidth="1"/>
    <col min="4" max="4" width="8.7109375" style="1" bestFit="1" customWidth="1"/>
    <col min="5" max="5" width="14.85546875" style="1" bestFit="1" customWidth="1"/>
    <col min="6" max="6" width="11.5703125" style="1" bestFit="1" customWidth="1"/>
    <col min="7" max="7" width="12.5703125" style="1" bestFit="1" customWidth="1"/>
    <col min="8" max="8" width="1.5703125" style="1" customWidth="1"/>
    <col min="9" max="9" width="14.7109375" style="1" bestFit="1" customWidth="1"/>
    <col min="10" max="10" width="14.140625" style="1" bestFit="1" customWidth="1"/>
    <col min="11" max="11" width="11.28515625" style="1" bestFit="1" customWidth="1"/>
    <col min="12" max="12" width="21.42578125" style="1" bestFit="1" customWidth="1"/>
    <col min="13" max="13" width="5" style="1" bestFit="1" customWidth="1"/>
    <col min="14" max="16384" width="9.140625" style="1"/>
  </cols>
  <sheetData>
    <row r="3" spans="2:13" x14ac:dyDescent="0.25">
      <c r="B3" s="2" t="s">
        <v>11</v>
      </c>
      <c r="C3" s="14">
        <f>DATE(2010,10,20)</f>
        <v>40471</v>
      </c>
      <c r="E3" s="2" t="s">
        <v>14</v>
      </c>
      <c r="F3" s="2">
        <v>85</v>
      </c>
      <c r="I3" s="2" t="s">
        <v>16</v>
      </c>
      <c r="J3" s="2">
        <v>1000</v>
      </c>
      <c r="L3" s="2" t="s">
        <v>18</v>
      </c>
      <c r="M3" s="2">
        <v>365</v>
      </c>
    </row>
    <row r="4" spans="2:13" x14ac:dyDescent="0.25">
      <c r="B4" s="2" t="s">
        <v>12</v>
      </c>
      <c r="C4" s="2" t="s">
        <v>13</v>
      </c>
      <c r="E4" s="2" t="s">
        <v>15</v>
      </c>
      <c r="F4" s="11">
        <v>2.5000000000000001E-3</v>
      </c>
      <c r="I4" s="2" t="s">
        <v>17</v>
      </c>
      <c r="J4" s="2">
        <v>9788</v>
      </c>
      <c r="L4" s="12" t="s">
        <v>19</v>
      </c>
      <c r="M4" s="19">
        <v>7250</v>
      </c>
    </row>
    <row r="5" spans="2:13" x14ac:dyDescent="0.25">
      <c r="L5" s="13" t="s">
        <v>20</v>
      </c>
      <c r="M5" s="20"/>
    </row>
    <row r="7" spans="2:13" x14ac:dyDescent="0.25">
      <c r="E7" s="21" t="s">
        <v>28</v>
      </c>
      <c r="F7" s="21"/>
      <c r="G7" s="21"/>
      <c r="I7" s="21" t="s">
        <v>29</v>
      </c>
      <c r="J7" s="21"/>
    </row>
    <row r="8" spans="2:13" x14ac:dyDescent="0.25">
      <c r="B8" s="6" t="s">
        <v>21</v>
      </c>
      <c r="C8" s="7" t="s">
        <v>22</v>
      </c>
      <c r="D8" s="7" t="s">
        <v>23</v>
      </c>
      <c r="E8" s="7" t="s">
        <v>24</v>
      </c>
      <c r="F8" s="7" t="str">
        <f>"+P&amp;L"</f>
        <v>+P&amp;L</v>
      </c>
      <c r="G8" s="7" t="str">
        <f>"+P&amp;L+Margin"</f>
        <v>+P&amp;L+Margin</v>
      </c>
      <c r="H8" s="16"/>
      <c r="I8" s="7" t="s">
        <v>25</v>
      </c>
      <c r="J8" s="7" t="s">
        <v>26</v>
      </c>
      <c r="K8" s="7" t="s">
        <v>27</v>
      </c>
    </row>
    <row r="9" spans="2:13" x14ac:dyDescent="0.25">
      <c r="B9" s="14">
        <v>40472</v>
      </c>
      <c r="C9" s="2">
        <v>80.36</v>
      </c>
      <c r="D9" s="3">
        <f>$F$3-C9</f>
        <v>4.6400000000000006</v>
      </c>
      <c r="E9" s="3">
        <v>9788</v>
      </c>
      <c r="F9" s="3">
        <f>E9*(1+$F$4*(B9-C3)/365)+D9*$J$3</f>
        <v>14428.067041095892</v>
      </c>
      <c r="G9" s="5">
        <f t="shared" ref="G9:G29" si="0">MAX(F9,$M$4)</f>
        <v>14428.067041095892</v>
      </c>
      <c r="H9" s="15"/>
      <c r="I9" s="3">
        <v>0</v>
      </c>
      <c r="J9" s="17">
        <f>-E9</f>
        <v>-9788</v>
      </c>
      <c r="K9" s="17">
        <f>J9/(1+(B9-$C$3)*$F$4/365)</f>
        <v>-9787.932959363292</v>
      </c>
    </row>
    <row r="10" spans="2:13" x14ac:dyDescent="0.25">
      <c r="B10" s="14">
        <v>40473</v>
      </c>
      <c r="C10" s="2">
        <v>81.63</v>
      </c>
      <c r="D10" s="3">
        <f>C9-C10</f>
        <v>-1.269999999999996</v>
      </c>
      <c r="E10" s="5">
        <f>G9</f>
        <v>14428.067041095892</v>
      </c>
      <c r="F10" s="5">
        <f>E10*(1+$F$4*(B10-B9)/365)+D10*$J$3</f>
        <v>13158.165863472888</v>
      </c>
      <c r="G10" s="5">
        <f t="shared" si="0"/>
        <v>13158.165863472888</v>
      </c>
      <c r="H10" s="15"/>
      <c r="I10" s="3">
        <v>0</v>
      </c>
      <c r="J10" s="5">
        <f t="shared" ref="J10:J22" si="1">MIN(F10-G10,0)</f>
        <v>0</v>
      </c>
      <c r="K10" s="5">
        <f t="shared" ref="K10:K30" si="2">J10/(1+(B10-$C$3)*$F$4/365)</f>
        <v>0</v>
      </c>
    </row>
    <row r="11" spans="2:13" x14ac:dyDescent="0.25">
      <c r="B11" s="14">
        <v>40476</v>
      </c>
      <c r="C11" s="2">
        <v>82.52</v>
      </c>
      <c r="D11" s="3">
        <f t="shared" ref="D11:D30" si="3">C10-C11</f>
        <v>-0.89000000000000057</v>
      </c>
      <c r="E11" s="5">
        <f t="shared" ref="E11:E30" si="4">G10</f>
        <v>13158.165863472888</v>
      </c>
      <c r="F11" s="5">
        <f t="shared" ref="F11:F30" si="5">E11*(1+$F$4*(B11-B10)/365)+D11*$J$3</f>
        <v>12268.436236744057</v>
      </c>
      <c r="G11" s="5">
        <f t="shared" si="0"/>
        <v>12268.436236744057</v>
      </c>
      <c r="H11" s="15"/>
      <c r="I11" s="3">
        <v>0</v>
      </c>
      <c r="J11" s="5">
        <f t="shared" si="1"/>
        <v>0</v>
      </c>
      <c r="K11" s="5">
        <f t="shared" si="2"/>
        <v>0</v>
      </c>
    </row>
    <row r="12" spans="2:13" x14ac:dyDescent="0.25">
      <c r="B12" s="14">
        <v>40477</v>
      </c>
      <c r="C12" s="2">
        <v>82.57</v>
      </c>
      <c r="D12" s="3">
        <f t="shared" si="3"/>
        <v>-4.9999999999997158E-2</v>
      </c>
      <c r="E12" s="5">
        <f t="shared" si="4"/>
        <v>12268.436236744057</v>
      </c>
      <c r="F12" s="5">
        <f t="shared" si="5"/>
        <v>12218.520267129243</v>
      </c>
      <c r="G12" s="5">
        <f t="shared" si="0"/>
        <v>12218.520267129243</v>
      </c>
      <c r="H12" s="15"/>
      <c r="I12" s="3">
        <v>0</v>
      </c>
      <c r="J12" s="5">
        <f t="shared" si="1"/>
        <v>0</v>
      </c>
      <c r="K12" s="5">
        <f t="shared" si="2"/>
        <v>0</v>
      </c>
    </row>
    <row r="13" spans="2:13" x14ac:dyDescent="0.25">
      <c r="B13" s="14">
        <v>40478</v>
      </c>
      <c r="C13" s="2">
        <v>81.91</v>
      </c>
      <c r="D13" s="3">
        <f t="shared" si="3"/>
        <v>0.65999999999999659</v>
      </c>
      <c r="E13" s="5">
        <f t="shared" si="4"/>
        <v>12218.520267129243</v>
      </c>
      <c r="F13" s="5">
        <f t="shared" si="5"/>
        <v>12878.603955624219</v>
      </c>
      <c r="G13" s="5">
        <f t="shared" si="0"/>
        <v>12878.603955624219</v>
      </c>
      <c r="H13" s="15"/>
      <c r="I13" s="3">
        <v>0</v>
      </c>
      <c r="J13" s="5">
        <f t="shared" si="1"/>
        <v>0</v>
      </c>
      <c r="K13" s="5">
        <f t="shared" si="2"/>
        <v>0</v>
      </c>
    </row>
    <row r="14" spans="2:13" x14ac:dyDescent="0.25">
      <c r="B14" s="14">
        <v>40479</v>
      </c>
      <c r="C14" s="2">
        <v>82.18</v>
      </c>
      <c r="D14" s="3">
        <f t="shared" si="3"/>
        <v>-0.27000000000001023</v>
      </c>
      <c r="E14" s="5">
        <f t="shared" si="4"/>
        <v>12878.603955624219</v>
      </c>
      <c r="F14" s="5">
        <f t="shared" si="5"/>
        <v>12608.692165240342</v>
      </c>
      <c r="G14" s="5">
        <f t="shared" si="0"/>
        <v>12608.692165240342</v>
      </c>
      <c r="H14" s="15"/>
      <c r="I14" s="3">
        <v>0</v>
      </c>
      <c r="J14" s="5">
        <f t="shared" si="1"/>
        <v>0</v>
      </c>
      <c r="K14" s="5">
        <f t="shared" si="2"/>
        <v>0</v>
      </c>
    </row>
    <row r="15" spans="2:13" x14ac:dyDescent="0.25">
      <c r="B15" s="14">
        <v>40480</v>
      </c>
      <c r="C15" s="2">
        <v>81.45</v>
      </c>
      <c r="D15" s="3">
        <f t="shared" si="3"/>
        <v>0.73000000000000398</v>
      </c>
      <c r="E15" s="5">
        <f t="shared" si="4"/>
        <v>12608.692165240342</v>
      </c>
      <c r="F15" s="5">
        <f t="shared" si="5"/>
        <v>13338.778526145587</v>
      </c>
      <c r="G15" s="5">
        <f t="shared" si="0"/>
        <v>13338.778526145587</v>
      </c>
      <c r="H15" s="15"/>
      <c r="I15" s="3">
        <v>0</v>
      </c>
      <c r="J15" s="5">
        <f t="shared" si="1"/>
        <v>0</v>
      </c>
      <c r="K15" s="5">
        <f t="shared" si="2"/>
        <v>0</v>
      </c>
    </row>
    <row r="16" spans="2:13" x14ac:dyDescent="0.25">
      <c r="B16" s="14">
        <v>40483</v>
      </c>
      <c r="C16" s="2">
        <v>82.98</v>
      </c>
      <c r="D16" s="3">
        <f t="shared" si="3"/>
        <v>-1.5300000000000011</v>
      </c>
      <c r="E16" s="5">
        <f t="shared" si="4"/>
        <v>13338.778526145587</v>
      </c>
      <c r="F16" s="5">
        <f t="shared" si="5"/>
        <v>11809.052610635848</v>
      </c>
      <c r="G16" s="5">
        <f t="shared" si="0"/>
        <v>11809.052610635848</v>
      </c>
      <c r="H16" s="15"/>
      <c r="I16" s="3">
        <v>0</v>
      </c>
      <c r="J16" s="5">
        <f t="shared" si="1"/>
        <v>0</v>
      </c>
      <c r="K16" s="5">
        <f t="shared" si="2"/>
        <v>0</v>
      </c>
    </row>
    <row r="17" spans="2:11" x14ac:dyDescent="0.25">
      <c r="B17" s="14">
        <v>40484</v>
      </c>
      <c r="C17" s="2">
        <v>83.91</v>
      </c>
      <c r="D17" s="3">
        <f t="shared" si="3"/>
        <v>-0.92999999999999261</v>
      </c>
      <c r="E17" s="5">
        <f t="shared" si="4"/>
        <v>11809.052610635848</v>
      </c>
      <c r="F17" s="5">
        <f t="shared" si="5"/>
        <v>10879.133494557846</v>
      </c>
      <c r="G17" s="5">
        <f t="shared" si="0"/>
        <v>10879.133494557846</v>
      </c>
      <c r="H17" s="15"/>
      <c r="I17" s="3">
        <v>0</v>
      </c>
      <c r="J17" s="5">
        <f t="shared" si="1"/>
        <v>0</v>
      </c>
      <c r="K17" s="5">
        <f t="shared" si="2"/>
        <v>0</v>
      </c>
    </row>
    <row r="18" spans="2:11" x14ac:dyDescent="0.25">
      <c r="B18" s="14">
        <v>40485</v>
      </c>
      <c r="C18" s="2">
        <v>84.67</v>
      </c>
      <c r="D18" s="3">
        <f t="shared" si="3"/>
        <v>-0.76000000000000512</v>
      </c>
      <c r="E18" s="5">
        <f t="shared" si="4"/>
        <v>10879.133494557846</v>
      </c>
      <c r="F18" s="5">
        <f t="shared" si="5"/>
        <v>10119.208009170816</v>
      </c>
      <c r="G18" s="5">
        <f t="shared" si="0"/>
        <v>10119.208009170816</v>
      </c>
      <c r="H18" s="15"/>
      <c r="I18" s="3">
        <v>0</v>
      </c>
      <c r="J18" s="5">
        <f t="shared" si="1"/>
        <v>0</v>
      </c>
      <c r="K18" s="5">
        <f t="shared" si="2"/>
        <v>0</v>
      </c>
    </row>
    <row r="19" spans="2:11" x14ac:dyDescent="0.25">
      <c r="B19" s="14">
        <v>40486</v>
      </c>
      <c r="C19" s="2">
        <v>86.47</v>
      </c>
      <c r="D19" s="3">
        <f t="shared" si="3"/>
        <v>-1.7999999999999972</v>
      </c>
      <c r="E19" s="5">
        <f t="shared" si="4"/>
        <v>10119.208009170816</v>
      </c>
      <c r="F19" s="5">
        <f t="shared" si="5"/>
        <v>8319.2773188147148</v>
      </c>
      <c r="G19" s="5">
        <f t="shared" si="0"/>
        <v>8319.2773188147148</v>
      </c>
      <c r="H19" s="15"/>
      <c r="I19" s="3">
        <v>0</v>
      </c>
      <c r="J19" s="5">
        <f t="shared" si="1"/>
        <v>0</v>
      </c>
      <c r="K19" s="5">
        <f t="shared" si="2"/>
        <v>0</v>
      </c>
    </row>
    <row r="20" spans="2:11" x14ac:dyDescent="0.25">
      <c r="B20" s="14">
        <v>40487</v>
      </c>
      <c r="C20" s="2">
        <v>86.85</v>
      </c>
      <c r="D20" s="3">
        <f t="shared" si="3"/>
        <v>-0.37999999999999545</v>
      </c>
      <c r="E20" s="5">
        <f t="shared" si="4"/>
        <v>8319.2773188147148</v>
      </c>
      <c r="F20" s="5">
        <f t="shared" si="5"/>
        <v>7939.334300166217</v>
      </c>
      <c r="G20" s="5">
        <f t="shared" si="0"/>
        <v>7939.334300166217</v>
      </c>
      <c r="H20" s="15"/>
      <c r="I20" s="3">
        <v>0</v>
      </c>
      <c r="J20" s="5">
        <f t="shared" si="1"/>
        <v>0</v>
      </c>
      <c r="K20" s="5">
        <f t="shared" si="2"/>
        <v>0</v>
      </c>
    </row>
    <row r="21" spans="2:11" x14ac:dyDescent="0.25">
      <c r="B21" s="14">
        <v>40490</v>
      </c>
      <c r="C21" s="2">
        <v>87.02</v>
      </c>
      <c r="D21" s="3">
        <f t="shared" si="3"/>
        <v>-0.17000000000000171</v>
      </c>
      <c r="E21" s="5">
        <f t="shared" si="4"/>
        <v>7939.334300166217</v>
      </c>
      <c r="F21" s="5">
        <f t="shared" si="5"/>
        <v>7769.4974371723838</v>
      </c>
      <c r="G21" s="5">
        <f t="shared" si="0"/>
        <v>7769.4974371723838</v>
      </c>
      <c r="H21" s="15"/>
      <c r="I21" s="3">
        <v>0</v>
      </c>
      <c r="J21" s="5">
        <f t="shared" si="1"/>
        <v>0</v>
      </c>
      <c r="K21" s="5">
        <f t="shared" si="2"/>
        <v>0</v>
      </c>
    </row>
    <row r="22" spans="2:11" x14ac:dyDescent="0.25">
      <c r="B22" s="14">
        <v>40491</v>
      </c>
      <c r="C22" s="2">
        <v>86.73</v>
      </c>
      <c r="D22" s="3">
        <f t="shared" si="3"/>
        <v>0.28999999999999204</v>
      </c>
      <c r="E22" s="5">
        <f t="shared" si="4"/>
        <v>7769.4974371723838</v>
      </c>
      <c r="F22" s="5">
        <f t="shared" si="5"/>
        <v>8059.5506529082459</v>
      </c>
      <c r="G22" s="5">
        <f t="shared" si="0"/>
        <v>8059.5506529082459</v>
      </c>
      <c r="H22" s="15"/>
      <c r="I22" s="3">
        <v>0</v>
      </c>
      <c r="J22" s="5">
        <f t="shared" si="1"/>
        <v>0</v>
      </c>
      <c r="K22" s="5">
        <f t="shared" si="2"/>
        <v>0</v>
      </c>
    </row>
    <row r="23" spans="2:11" x14ac:dyDescent="0.25">
      <c r="B23" s="14">
        <v>40492</v>
      </c>
      <c r="C23" s="2">
        <v>87.8</v>
      </c>
      <c r="D23" s="3">
        <f t="shared" si="3"/>
        <v>-1.0699999999999932</v>
      </c>
      <c r="E23" s="5">
        <f t="shared" si="4"/>
        <v>8059.5506529082459</v>
      </c>
      <c r="F23" s="5">
        <f t="shared" si="5"/>
        <v>6989.6058553099847</v>
      </c>
      <c r="G23" s="5">
        <f t="shared" si="0"/>
        <v>7250</v>
      </c>
      <c r="H23" s="15"/>
      <c r="I23" s="3">
        <v>0</v>
      </c>
      <c r="J23" s="17">
        <f>MIN(F23-G23,0)</f>
        <v>-260.39414469001531</v>
      </c>
      <c r="K23" s="17">
        <f t="shared" si="2"/>
        <v>-260.35669612413449</v>
      </c>
    </row>
    <row r="24" spans="2:11" x14ac:dyDescent="0.25">
      <c r="B24" s="14">
        <v>40493</v>
      </c>
      <c r="C24" s="2">
        <v>87.81</v>
      </c>
      <c r="D24" s="3">
        <f t="shared" si="3"/>
        <v>-1.0000000000005116E-2</v>
      </c>
      <c r="E24" s="5">
        <f t="shared" si="4"/>
        <v>7250</v>
      </c>
      <c r="F24" s="5">
        <f t="shared" si="5"/>
        <v>7240.0496575342404</v>
      </c>
      <c r="G24" s="5">
        <f t="shared" si="0"/>
        <v>7250</v>
      </c>
      <c r="H24" s="15"/>
      <c r="I24" s="3">
        <v>0</v>
      </c>
      <c r="J24" s="17">
        <f t="shared" ref="J24:J29" si="6">MIN(F24-G24,0)</f>
        <v>-9.9503424657596042</v>
      </c>
      <c r="K24" s="17">
        <f t="shared" si="2"/>
        <v>-9.9488433249846064</v>
      </c>
    </row>
    <row r="25" spans="2:11" x14ac:dyDescent="0.25">
      <c r="B25" s="14">
        <v>40494</v>
      </c>
      <c r="C25" s="2">
        <v>84.91</v>
      </c>
      <c r="D25" s="3">
        <f t="shared" si="3"/>
        <v>2.9000000000000057</v>
      </c>
      <c r="E25" s="5">
        <f t="shared" si="4"/>
        <v>7250</v>
      </c>
      <c r="F25" s="5">
        <f t="shared" si="5"/>
        <v>10150.049657534251</v>
      </c>
      <c r="G25" s="5">
        <f t="shared" si="0"/>
        <v>10150.049657534251</v>
      </c>
      <c r="H25" s="15"/>
      <c r="I25" s="3">
        <v>0</v>
      </c>
      <c r="J25" s="5">
        <f t="shared" si="6"/>
        <v>0</v>
      </c>
      <c r="K25" s="5">
        <f t="shared" si="2"/>
        <v>0</v>
      </c>
    </row>
    <row r="26" spans="2:11" x14ac:dyDescent="0.25">
      <c r="B26" s="14">
        <v>40497</v>
      </c>
      <c r="C26" s="2">
        <v>84.84</v>
      </c>
      <c r="D26" s="3">
        <f t="shared" si="3"/>
        <v>6.9999999999993179E-2</v>
      </c>
      <c r="E26" s="5">
        <f t="shared" si="4"/>
        <v>10150.049657534251</v>
      </c>
      <c r="F26" s="5">
        <f t="shared" si="5"/>
        <v>10220.258220198441</v>
      </c>
      <c r="G26" s="5">
        <f t="shared" si="0"/>
        <v>10220.258220198441</v>
      </c>
      <c r="H26" s="15"/>
      <c r="I26" s="3">
        <v>0</v>
      </c>
      <c r="J26" s="5">
        <f t="shared" si="6"/>
        <v>0</v>
      </c>
      <c r="K26" s="5">
        <f t="shared" si="2"/>
        <v>0</v>
      </c>
    </row>
    <row r="27" spans="2:11" x14ac:dyDescent="0.25">
      <c r="B27" s="14">
        <v>40498</v>
      </c>
      <c r="C27" s="2">
        <v>82.34</v>
      </c>
      <c r="D27" s="3">
        <f t="shared" si="3"/>
        <v>2.5</v>
      </c>
      <c r="E27" s="5">
        <f t="shared" si="4"/>
        <v>10220.258220198441</v>
      </c>
      <c r="F27" s="5">
        <f t="shared" si="5"/>
        <v>12720.328221967071</v>
      </c>
      <c r="G27" s="5">
        <f t="shared" si="0"/>
        <v>12720.328221967071</v>
      </c>
      <c r="H27" s="15"/>
      <c r="I27" s="3">
        <v>0</v>
      </c>
      <c r="J27" s="5">
        <f t="shared" si="6"/>
        <v>0</v>
      </c>
      <c r="K27" s="5">
        <f t="shared" si="2"/>
        <v>0</v>
      </c>
    </row>
    <row r="28" spans="2:11" x14ac:dyDescent="0.25">
      <c r="B28" s="14">
        <v>40499</v>
      </c>
      <c r="C28" s="2">
        <v>80.459999999999994</v>
      </c>
      <c r="D28" s="3">
        <f t="shared" si="3"/>
        <v>1.8800000000000097</v>
      </c>
      <c r="E28" s="5">
        <f t="shared" si="4"/>
        <v>12720.328221967071</v>
      </c>
      <c r="F28" s="5">
        <f t="shared" si="5"/>
        <v>14600.415347502847</v>
      </c>
      <c r="G28" s="5">
        <f t="shared" si="0"/>
        <v>14600.415347502847</v>
      </c>
      <c r="H28" s="15"/>
      <c r="I28" s="3">
        <v>0</v>
      </c>
      <c r="J28" s="5">
        <f t="shared" si="6"/>
        <v>0</v>
      </c>
      <c r="K28" s="5">
        <f t="shared" si="2"/>
        <v>0</v>
      </c>
    </row>
    <row r="29" spans="2:11" x14ac:dyDescent="0.25">
      <c r="B29" s="14">
        <v>40500</v>
      </c>
      <c r="C29" s="2">
        <v>81.87</v>
      </c>
      <c r="D29" s="3">
        <f t="shared" si="3"/>
        <v>-1.4100000000000108</v>
      </c>
      <c r="E29" s="5">
        <f t="shared" si="4"/>
        <v>14600.415347502847</v>
      </c>
      <c r="F29" s="5">
        <f t="shared" si="5"/>
        <v>13190.515350347681</v>
      </c>
      <c r="G29" s="5">
        <f t="shared" si="0"/>
        <v>13190.515350347681</v>
      </c>
      <c r="H29" s="15"/>
      <c r="I29" s="3">
        <v>0</v>
      </c>
      <c r="J29" s="5">
        <f t="shared" si="6"/>
        <v>0</v>
      </c>
      <c r="K29" s="5">
        <f t="shared" si="2"/>
        <v>0</v>
      </c>
    </row>
    <row r="30" spans="2:11" x14ac:dyDescent="0.25">
      <c r="B30" s="14">
        <v>40501</v>
      </c>
      <c r="C30" s="2">
        <v>81.510000000000005</v>
      </c>
      <c r="D30" s="3">
        <f t="shared" si="3"/>
        <v>0.35999999999999943</v>
      </c>
      <c r="E30" s="5">
        <f t="shared" si="4"/>
        <v>13190.515350347681</v>
      </c>
      <c r="F30" s="5">
        <f t="shared" si="5"/>
        <v>13550.605696343231</v>
      </c>
      <c r="G30" s="15"/>
      <c r="H30" s="15"/>
      <c r="I30" s="18">
        <f>(85-C30)*J3</f>
        <v>3489.999999999995</v>
      </c>
      <c r="J30" s="17">
        <f>F30</f>
        <v>13550.605696343231</v>
      </c>
      <c r="K30" s="17">
        <f t="shared" si="2"/>
        <v>13547.821897323234</v>
      </c>
    </row>
  </sheetData>
  <mergeCells count="3">
    <mergeCell ref="M4:M5"/>
    <mergeCell ref="E7:G7"/>
    <mergeCell ref="I7:J7"/>
  </mergeCells>
  <phoneticPr fontId="4" type="noConversion"/>
  <conditionalFormatting sqref="D9:D3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 I</vt:lpstr>
      <vt:lpstr>Sol I</vt:lpstr>
      <vt:lpstr>Prob II</vt:lpstr>
      <vt:lpstr>Sol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Segal</dc:creator>
  <cp:lastModifiedBy>Maxime Segal</cp:lastModifiedBy>
  <dcterms:created xsi:type="dcterms:W3CDTF">2025-07-11T18:22:01Z</dcterms:created>
  <dcterms:modified xsi:type="dcterms:W3CDTF">2025-07-12T18:09:17Z</dcterms:modified>
</cp:coreProperties>
</file>